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1be46268acc3714/Documents/"/>
    </mc:Choice>
  </mc:AlternateContent>
  <xr:revisionPtr revIDLastSave="218" documentId="8_{DDFDF4DF-FC30-44CD-9CAE-02ABE8628F0A}" xr6:coauthVersionLast="47" xr6:coauthVersionMax="47" xr10:uidLastSave="{B3380C5D-C866-4A5F-8ED7-EA721343FF1E}"/>
  <bookViews>
    <workbookView xWindow="-110" yWindow="-110" windowWidth="19420" windowHeight="10420" tabRatio="732" xr2:uid="{4439D654-53B9-4B7F-8D29-A572E8BC659D}"/>
  </bookViews>
  <sheets>
    <sheet name="Invoice" sheetId="1" r:id="rId1"/>
    <sheet name="Database" sheetId="3" r:id="rId2"/>
    <sheet name="Control" sheetId="2" r:id="rId3"/>
  </sheets>
  <definedNames>
    <definedName name="Dyn_Master">OFFSET(Database!$H$2,1,0,Control!$E$6,1)</definedName>
    <definedName name="Dyn_Ref">OFFSET(Invoice!$C$9,0,0,Control!$E$2,1)</definedName>
    <definedName name="_xlnm.Print_Area" localSheetId="0">Invoice!$D$2:$I$8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M3" i="3"/>
  <c r="J2" i="2" l="1"/>
  <c r="J3" i="2" s="1"/>
  <c r="J4" i="2" s="1"/>
  <c r="J5" i="2" s="1"/>
  <c r="J6" i="2" s="1"/>
  <c r="J7" i="2" s="1"/>
  <c r="J8" i="2" s="1"/>
  <c r="J9" i="2" s="1"/>
  <c r="J10" i="2" s="1"/>
  <c r="J11" i="2" s="1"/>
  <c r="J12" i="2" s="1"/>
  <c r="J13" i="2" s="1"/>
  <c r="L3" i="3"/>
  <c r="I3" i="1"/>
  <c r="E2" i="2"/>
  <c r="B5" i="1"/>
  <c r="E6" i="2"/>
  <c r="E8" i="2" l="1" a="1"/>
  <c r="E8" i="2" s="1"/>
  <c r="E7" i="2" a="1"/>
  <c r="E7" i="2" s="1"/>
  <c r="B6" i="1"/>
  <c r="I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<sst xmlns="http://schemas.openxmlformats.org/spreadsheetml/2006/main" count="89" uniqueCount="47">
  <si>
    <t>Name</t>
  </si>
  <si>
    <t>Rate</t>
  </si>
  <si>
    <t>Date</t>
  </si>
  <si>
    <t>Start Time</t>
  </si>
  <si>
    <t>End Time</t>
  </si>
  <si>
    <t>Ref</t>
  </si>
  <si>
    <t>Last Row:</t>
  </si>
  <si>
    <t>Hours</t>
  </si>
  <si>
    <t>Pay</t>
  </si>
  <si>
    <t>Month</t>
  </si>
  <si>
    <t>Total Hours</t>
  </si>
  <si>
    <t>Total Amount</t>
  </si>
  <si>
    <t>Criteria</t>
  </si>
  <si>
    <t>April</t>
  </si>
  <si>
    <t>January</t>
  </si>
  <si>
    <t>February</t>
  </si>
  <si>
    <t>March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</si>
  <si>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</si>
  <si>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</si>
  <si>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</si>
  <si>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</si>
  <si>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</si>
  <si>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</si>
  <si>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</si>
  <si>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</si>
  <si>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Mnth Shown</t>
  </si>
  <si>
    <t>Master Row</t>
  </si>
  <si>
    <t>Mastersheet Last Row</t>
  </si>
  <si>
    <t>10:00</t>
  </si>
  <si>
    <t>12:00</t>
  </si>
  <si>
    <t>Tuition Time Form</t>
  </si>
  <si>
    <t>18:00</t>
  </si>
  <si>
    <t>20:00</t>
  </si>
  <si>
    <t>Master Filter StartRow</t>
  </si>
  <si>
    <t>Master Filter LastRow</t>
  </si>
  <si>
    <t>Year</t>
  </si>
  <si>
    <t>Year Shown</t>
  </si>
  <si>
    <t>Table</t>
  </si>
  <si>
    <t>Rows</t>
  </si>
  <si>
    <t>Months</t>
  </si>
  <si>
    <t>Student A</t>
  </si>
  <si>
    <t>Student B</t>
  </si>
  <si>
    <t>30/01/2022</t>
  </si>
  <si>
    <t>Student C</t>
  </si>
  <si>
    <t>21:00</t>
  </si>
  <si>
    <t>23:00</t>
  </si>
  <si>
    <t>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</si>
</sst>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yyyy\-mm\-dd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8"/>
      <color theme="1"/>
      <name val="Arial"/>
      <family val="2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/>
      <right/>
      <top/>
      <bottom style="double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indexed="64"/>
      </right>
      <top/>
      <bottom style="double">
        <color theme="0" tint="-0.249977111117893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/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47">
    <xf numFmtId="0" fontId="0" fillId="0" borderId="0" xfId="0"/>
    <xf numFmtId="0" fontId="0" fillId="2" borderId="0" xfId="0" applyFill="1"/>
    <xf numFmtId="0" fontId="1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0" fillId="3" borderId="0" xfId="0" applyFill="1"/>
    <xf numFmtId="0" fontId="0" fillId="4" borderId="1" xfId="0" applyFill="1" applyBorder="1"/>
    <xf numFmtId="0" fontId="0" fillId="0" borderId="0" xfId="0" applyFont="1"/>
    <xf numFmtId="0" fontId="0" fillId="8" borderId="0" xfId="0" applyFont="1" applyFill="1" applyBorder="1"/>
    <xf numFmtId="0" fontId="1" fillId="0" borderId="6" xfId="0" applyFont="1" applyBorder="1"/>
    <xf numFmtId="0" fontId="0" fillId="2" borderId="0" xfId="0" applyFill="1" applyBorder="1"/>
    <xf numFmtId="0" fontId="0" fillId="0" borderId="3" xfId="0" applyBorder="1"/>
    <xf numFmtId="0" fontId="0" fillId="0" borderId="0" xfId="0" applyBorder="1"/>
    <xf numFmtId="0" fontId="0" fillId="0" borderId="10" xfId="0" applyBorder="1"/>
    <xf numFmtId="0" fontId="1" fillId="2" borderId="2" xfId="0" applyFont="1" applyFill="1" applyBorder="1" applyAlignment="1">
      <alignment horizontal="center"/>
    </xf>
    <xf numFmtId="44" fontId="0" fillId="0" borderId="12" xfId="1" applyFont="1" applyBorder="1"/>
    <xf numFmtId="44" fontId="0" fillId="0" borderId="10" xfId="1" applyFont="1" applyBorder="1"/>
    <xf numFmtId="44" fontId="0" fillId="0" borderId="0" xfId="1" applyFont="1"/>
    <xf numFmtId="164" fontId="0" fillId="0" borderId="0" xfId="0" applyNumberFormat="1"/>
    <xf numFmtId="165" fontId="0" fillId="0" borderId="8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4" fontId="0" fillId="0" borderId="10" xfId="0" applyNumberFormat="1" applyBorder="1"/>
    <xf numFmtId="0" fontId="0" fillId="0" borderId="10" xfId="0" applyNumberFormat="1" applyBorder="1" applyAlignment="1">
      <alignment horizontal="right"/>
    </xf>
    <xf numFmtId="0" fontId="1" fillId="2" borderId="11" xfId="0" applyFont="1" applyFill="1" applyBorder="1" applyAlignment="1">
      <alignment horizontal="center"/>
    </xf>
    <xf numFmtId="0" fontId="0" fillId="0" borderId="0" xfId="0" applyNumberFormat="1"/>
    <xf numFmtId="0" fontId="0" fillId="0" borderId="9" xfId="0" applyBorder="1" applyAlignment="1">
      <alignment horizontal="center" vertical="center"/>
    </xf>
    <xf numFmtId="0" fontId="1" fillId="6" borderId="1" xfId="0" applyFont="1" applyFill="1" applyBorder="1"/>
    <xf numFmtId="165" fontId="0" fillId="0" borderId="0" xfId="0" applyNumberFormat="1"/>
    <xf numFmtId="44" fontId="0" fillId="0" borderId="0" xfId="0" applyNumberFormat="1"/>
    <xf numFmtId="0" fontId="0" fillId="2" borderId="10" xfId="0" applyFill="1" applyBorder="1"/>
    <xf numFmtId="0" fontId="0" fillId="2" borderId="3" xfId="0" applyFill="1" applyBorder="1"/>
    <xf numFmtId="1" fontId="0" fillId="0" borderId="0" xfId="1" applyNumberFormat="1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1" fontId="0" fillId="0" borderId="0" xfId="0" applyNumberFormat="1"/>
    <xf numFmtId="0" fontId="1" fillId="9" borderId="1" xfId="0" applyFont="1" applyFill="1" applyBorder="1"/>
    <xf numFmtId="0" fontId="1" fillId="10" borderId="0" xfId="0" applyFont="1" applyFill="1"/>
    <xf numFmtId="0" fontId="0" fillId="0" borderId="7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" fillId="10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4D79C7"/>
      <color rgb="FF00D6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0</xdr:row>
      <xdr:rowOff>164125</xdr:rowOff>
    </xdr:from>
    <xdr:to>
      <xdr:col>10</xdr:col>
      <xdr:colOff>579120</xdr:colOff>
      <xdr:row>2</xdr:row>
      <xdr:rowOff>71117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AF78F966-FAAD-4527-B604-868B26C53420}"/>
            </a:ext>
          </a:extLst>
        </xdr:cNvPr>
        <xdr:cNvGrpSpPr/>
      </xdr:nvGrpSpPr>
      <xdr:grpSpPr>
        <a:xfrm>
          <a:off x="6227041" y="164125"/>
          <a:ext cx="1186988" cy="282219"/>
          <a:chOff x="7686537" y="42901"/>
          <a:chExt cx="1186235" cy="284980"/>
        </a:xfrm>
      </xdr:grpSpPr>
      <xdr:sp macro="[0]!ShowUserForm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55C02D59-40D1-4DC7-953D-0B1486934628}"/>
              </a:ext>
            </a:extLst>
          </xdr:cNvPr>
          <xdr:cNvSpPr/>
        </xdr:nvSpPr>
        <xdr:spPr>
          <a:xfrm>
            <a:off x="7686537" y="50800"/>
            <a:ext cx="1186235" cy="277081"/>
          </a:xfrm>
          <a:prstGeom prst="roundRect">
            <a:avLst/>
          </a:prstGeom>
          <a:ln>
            <a:solidFill>
              <a:schemeClr val="bg2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endParaRPr lang="en-SG" sz="1100"/>
          </a:p>
        </xdr:txBody>
      </xdr:sp>
      <xdr:pic macro="[0]!ShowUserForm">
        <xdr:nvPicPr>
          <xdr:cNvPr id="4" name="Graphic 3" descr="Document with solid fill">
            <a:extLst>
              <a:ext uri="{FF2B5EF4-FFF2-40B4-BE49-F238E27FC236}">
                <a16:creationId xmlns:a16="http://schemas.microsoft.com/office/drawing/2014/main" id="{39CF4DF7-3503-47B7-9A85-6055D1B5CD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702826" y="66261"/>
            <a:ext cx="248479" cy="247460"/>
          </a:xfrm>
          <a:prstGeom prst="rect">
            <a:avLst/>
          </a:prstGeom>
        </xdr:spPr>
      </xdr:pic>
      <xdr:pic macro="[0]!ShowUserForm">
        <xdr:nvPicPr>
          <xdr:cNvPr id="11" name="Graphic 10" descr="Add with solid fill">
            <a:extLst>
              <a:ext uri="{FF2B5EF4-FFF2-40B4-BE49-F238E27FC236}">
                <a16:creationId xmlns:a16="http://schemas.microsoft.com/office/drawing/2014/main" id="{A4DA4756-61DB-4F94-A8A4-77D3C8C9BF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817318" y="42901"/>
            <a:ext cx="137386" cy="136942"/>
          </a:xfrm>
          <a:prstGeom prst="rect">
            <a:avLst/>
          </a:prstGeom>
        </xdr:spPr>
      </xdr:pic>
      <xdr:sp macro="[0]!ShowUserForm" textlink="">
        <xdr:nvSpPr>
          <xdr:cNvPr id="15" name="TextBox 14">
            <a:extLst>
              <a:ext uri="{FF2B5EF4-FFF2-40B4-BE49-F238E27FC236}">
                <a16:creationId xmlns:a16="http://schemas.microsoft.com/office/drawing/2014/main" id="{D8B94ADC-D13C-44AA-AD75-1920F6D6FAC3}"/>
              </a:ext>
            </a:extLst>
          </xdr:cNvPr>
          <xdr:cNvSpPr txBox="1"/>
        </xdr:nvSpPr>
        <xdr:spPr>
          <a:xfrm>
            <a:off x="8006522" y="60739"/>
            <a:ext cx="71564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SG" sz="1100"/>
              <a:t>Add Data</a:t>
            </a:r>
          </a:p>
        </xdr:txBody>
      </xdr:sp>
    </xdr:grpSp>
    <xdr:clientData/>
  </xdr:twoCellAnchor>
  <xdr:twoCellAnchor>
    <xdr:from>
      <xdr:col>9</xdr:col>
      <xdr:colOff>171450</xdr:colOff>
      <xdr:row>2</xdr:row>
      <xdr:rowOff>159023</xdr:rowOff>
    </xdr:from>
    <xdr:to>
      <xdr:col>10</xdr:col>
      <xdr:colOff>579120</xdr:colOff>
      <xdr:row>4</xdr:row>
      <xdr:rowOff>63387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1716BB8B-1B7E-4483-8336-8A1DB55BAD6D}"/>
            </a:ext>
          </a:extLst>
        </xdr:cNvPr>
        <xdr:cNvGrpSpPr/>
      </xdr:nvGrpSpPr>
      <xdr:grpSpPr>
        <a:xfrm>
          <a:off x="6227041" y="534250"/>
          <a:ext cx="1186988" cy="279592"/>
          <a:chOff x="7686537" y="50800"/>
          <a:chExt cx="1186235" cy="277081"/>
        </a:xfrm>
      </xdr:grpSpPr>
      <xdr:sp macro="[0]!ShowEditForm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0C1DEE02-1435-4182-84D1-43BB50031D40}"/>
              </a:ext>
            </a:extLst>
          </xdr:cNvPr>
          <xdr:cNvSpPr/>
        </xdr:nvSpPr>
        <xdr:spPr>
          <a:xfrm>
            <a:off x="7686537" y="50800"/>
            <a:ext cx="1186235" cy="277081"/>
          </a:xfrm>
          <a:prstGeom prst="roundRect">
            <a:avLst/>
          </a:prstGeom>
          <a:ln>
            <a:solidFill>
              <a:schemeClr val="bg2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endParaRPr lang="en-SG" sz="1100"/>
          </a:p>
        </xdr:txBody>
      </xdr:sp>
      <xdr:pic macro="[0]!ShowEditForm">
        <xdr:nvPicPr>
          <xdr:cNvPr id="21" name="Graphic 20" descr="Document with solid fill">
            <a:extLst>
              <a:ext uri="{FF2B5EF4-FFF2-40B4-BE49-F238E27FC236}">
                <a16:creationId xmlns:a16="http://schemas.microsoft.com/office/drawing/2014/main" id="{4CD18FD0-8BC4-4CD8-8845-FD369E73CA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702826" y="66261"/>
            <a:ext cx="248479" cy="247460"/>
          </a:xfrm>
          <a:prstGeom prst="rect">
            <a:avLst/>
          </a:prstGeom>
        </xdr:spPr>
      </xdr:pic>
      <xdr:sp macro="[0]!ShowEditForm" textlink="">
        <xdr:nvSpPr>
          <xdr:cNvPr id="23" name="TextBox 22">
            <a:extLst>
              <a:ext uri="{FF2B5EF4-FFF2-40B4-BE49-F238E27FC236}">
                <a16:creationId xmlns:a16="http://schemas.microsoft.com/office/drawing/2014/main" id="{C50FB64C-E7F4-4EA4-AA76-6C342FF18149}"/>
              </a:ext>
            </a:extLst>
          </xdr:cNvPr>
          <xdr:cNvSpPr txBox="1"/>
        </xdr:nvSpPr>
        <xdr:spPr>
          <a:xfrm>
            <a:off x="8006522" y="60739"/>
            <a:ext cx="70839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SG" sz="1100"/>
              <a:t>Edit Data</a:t>
            </a:r>
          </a:p>
        </xdr:txBody>
      </xdr:sp>
    </xdr:grpSp>
    <xdr:clientData/>
  </xdr:twoCellAnchor>
  <xdr:twoCellAnchor editAs="oneCell">
    <xdr:from>
      <xdr:col>9</xdr:col>
      <xdr:colOff>303695</xdr:colOff>
      <xdr:row>3</xdr:row>
      <xdr:rowOff>55216</xdr:rowOff>
    </xdr:from>
    <xdr:to>
      <xdr:col>9</xdr:col>
      <xdr:colOff>458305</xdr:colOff>
      <xdr:row>4</xdr:row>
      <xdr:rowOff>27609</xdr:rowOff>
    </xdr:to>
    <xdr:pic>
      <xdr:nvPicPr>
        <xdr:cNvPr id="18" name="Graphic 17" descr="Pen with solid fill">
          <a:extLst>
            <a:ext uri="{FF2B5EF4-FFF2-40B4-BE49-F238E27FC236}">
              <a16:creationId xmlns:a16="http://schemas.microsoft.com/office/drawing/2014/main" id="{DBAD8687-ACD6-4F49-BA46-330CC5866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818782" y="441738"/>
          <a:ext cx="154610" cy="154610"/>
        </a:xfrm>
        <a:prstGeom prst="rect">
          <a:avLst/>
        </a:prstGeom>
      </xdr:spPr>
    </xdr:pic>
    <xdr:clientData/>
  </xdr:twoCellAnchor>
  <xdr:twoCellAnchor>
    <xdr:from>
      <xdr:col>9</xdr:col>
      <xdr:colOff>171450</xdr:colOff>
      <xdr:row>4</xdr:row>
      <xdr:rowOff>163841</xdr:rowOff>
    </xdr:from>
    <xdr:to>
      <xdr:col>10</xdr:col>
      <xdr:colOff>579120</xdr:colOff>
      <xdr:row>5</xdr:row>
      <xdr:rowOff>220054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33AC19A8-E286-417A-A889-24DC5720930B}"/>
            </a:ext>
          </a:extLst>
        </xdr:cNvPr>
        <xdr:cNvGrpSpPr/>
      </xdr:nvGrpSpPr>
      <xdr:grpSpPr>
        <a:xfrm>
          <a:off x="6227041" y="914296"/>
          <a:ext cx="1186988" cy="281349"/>
          <a:chOff x="6237632" y="786296"/>
          <a:chExt cx="1186235" cy="277081"/>
        </a:xfrm>
      </xdr:grpSpPr>
      <xdr:sp macro="[0]!Update_Master" textlink="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E1F13D9C-93CD-4050-9A09-9A20A274E04F}"/>
              </a:ext>
            </a:extLst>
          </xdr:cNvPr>
          <xdr:cNvSpPr/>
        </xdr:nvSpPr>
        <xdr:spPr>
          <a:xfrm>
            <a:off x="6237632" y="786296"/>
            <a:ext cx="1186235" cy="277081"/>
          </a:xfrm>
          <a:prstGeom prst="roundRect">
            <a:avLst/>
          </a:prstGeom>
          <a:ln>
            <a:solidFill>
              <a:schemeClr val="bg2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endParaRPr lang="en-SG" sz="1100"/>
          </a:p>
        </xdr:txBody>
      </xdr:sp>
      <xdr:sp macro="[0]!Update_Master" textlink="">
        <xdr:nvSpPr>
          <xdr:cNvPr id="26" name="TextBox 25">
            <a:extLst>
              <a:ext uri="{FF2B5EF4-FFF2-40B4-BE49-F238E27FC236}">
                <a16:creationId xmlns:a16="http://schemas.microsoft.com/office/drawing/2014/main" id="{A49B71E9-7EA5-4715-ADF8-A68A600EB503}"/>
              </a:ext>
            </a:extLst>
          </xdr:cNvPr>
          <xdr:cNvSpPr txBox="1"/>
        </xdr:nvSpPr>
        <xdr:spPr>
          <a:xfrm>
            <a:off x="6557617" y="796235"/>
            <a:ext cx="60850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SG" sz="1100"/>
              <a:t>Update</a:t>
            </a:r>
          </a:p>
        </xdr:txBody>
      </xdr:sp>
      <xdr:pic macro="[0]!Update_Master">
        <xdr:nvPicPr>
          <xdr:cNvPr id="5" name="Graphic 4" descr="Upload outline">
            <a:extLst>
              <a:ext uri="{FF2B5EF4-FFF2-40B4-BE49-F238E27FC236}">
                <a16:creationId xmlns:a16="http://schemas.microsoft.com/office/drawing/2014/main" id="{66D92BE9-2AE6-4E6B-A7A2-1C6A7D35F0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294782" y="811696"/>
            <a:ext cx="237435" cy="23743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B549AE-68E5-40DC-85DC-F05B15B2E4FB}" name="Tutee" displayName="Tutee" ref="A2:B5" totalsRowShown="0">
  <autoFilter ref="A2:B5" xr:uid="{BC6871C2-CF01-463A-82B6-2DEC271B365B}">
    <filterColumn colId="0" hiddenButton="1"/>
    <filterColumn colId="1" hiddenButton="1"/>
  </autoFilter>
  <tableColumns count="2">
    <tableColumn id="1" xr3:uid="{D63F4F92-6A51-41AC-9BD3-901A794FB7B4}" name="Name"/>
    <tableColumn id="2" xr3:uid="{422EC36C-0B71-4E0D-8E49-FE804DDC2A47}" name="Rat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AFC6F-491B-49D5-A4AE-F3C06707D5AD}">
  <sheetPr codeName="shMain"/>
  <dimension ref="A1:O200"/>
  <sheetViews>
    <sheetView showGridLines="0" tabSelected="1" topLeftCell="C1" zoomScale="110" zoomScaleNormal="110" workbookViewId="0">
      <selection activeCell="O8" sqref="O8"/>
    </sheetView>
  </sheetViews>
  <sheetFormatPr defaultColWidth="11.1796875" defaultRowHeight="14.5" x14ac:dyDescent="0.35"/>
  <cols>
    <col min="1" max="1" width="11.6328125" style="5" hidden="1" customWidth="1"/>
    <col min="2" max="2" width="9.26953125" style="5" hidden="1" customWidth="1"/>
    <col min="3" max="3" width="8.81640625" style="1" customWidth="1"/>
    <col min="4" max="4" width="14.6328125" customWidth="1"/>
    <col min="5" max="5" width="12.6328125" style="18" customWidth="1"/>
    <col min="6" max="7" width="12.6328125" customWidth="1"/>
    <col min="8" max="8" width="12.6328125" style="20" customWidth="1"/>
    <col min="9" max="9" width="12.6328125" style="17" customWidth="1"/>
    <col min="10" max="11" width="11.1796875" style="1"/>
  </cols>
  <sheetData>
    <row r="1" spans="1:15" x14ac:dyDescent="0.35">
      <c r="C1" s="29"/>
      <c r="H1" s="2" t="s">
        <v>35</v>
      </c>
      <c r="I1" s="31">
        <v>2022</v>
      </c>
      <c r="J1" s="30"/>
    </row>
    <row r="2" spans="1:15" ht="15" thickBot="1" x14ac:dyDescent="0.4">
      <c r="C2" s="10"/>
      <c r="D2" s="42" t="s">
        <v>30</v>
      </c>
      <c r="E2" s="43"/>
      <c r="F2" s="43"/>
      <c r="G2" s="43"/>
      <c r="H2" s="9" t="s">
        <v>9</v>
      </c>
      <c r="I2" s="25" t="s">
        <v>14</v>
      </c>
      <c r="J2" s="10"/>
    </row>
    <row r="3" spans="1:15" ht="15" thickTop="1" x14ac:dyDescent="0.35">
      <c r="C3" s="10"/>
      <c r="D3" s="42"/>
      <c r="E3" s="43"/>
      <c r="F3" s="43"/>
      <c r="G3" s="43"/>
      <c r="H3" s="2" t="s">
        <v>10</v>
      </c>
      <c r="I3" s="22" t="str">
        <f>SUM(H9:H1055) &amp; " Hrs"</f>
        <v>6 Hrs</v>
      </c>
      <c r="J3" s="10"/>
      <c r="O3" s="24"/>
    </row>
    <row r="4" spans="1:15" x14ac:dyDescent="0.35">
      <c r="A4" s="6" t="s">
        <v>36</v>
      </c>
      <c r="B4" s="6">
        <f>IFERROR($I$1,0)</f>
        <v>2022</v>
      </c>
      <c r="C4" s="10"/>
      <c r="D4" s="11"/>
      <c r="E4" s="12"/>
      <c r="F4" s="12"/>
      <c r="G4" s="12"/>
      <c r="H4" s="2" t="s">
        <v>11</v>
      </c>
      <c r="I4" s="21">
        <f>SUM(I9:I1055)</f>
        <v>270</v>
      </c>
      <c r="J4" s="10"/>
    </row>
    <row r="5" spans="1:15" ht="17.5" customHeight="1" x14ac:dyDescent="0.35">
      <c r="A5" s="6" t="s">
        <v>25</v>
      </c>
      <c r="B5" s="6">
        <f>VLOOKUP($I$2,Control!$G$2:$H$13,2,FALSE)</f>
        <v>1</v>
      </c>
      <c r="C5" s="10"/>
      <c r="D5" s="11"/>
      <c r="E5" s="12"/>
      <c r="F5" s="12"/>
      <c r="G5" s="12"/>
      <c r="H5"/>
      <c r="I5" s="13"/>
      <c r="J5" s="10"/>
    </row>
    <row r="6" spans="1:15" ht="17.5" customHeight="1" x14ac:dyDescent="0.35">
      <c r="A6" s="6" t="s">
        <v>26</v>
      </c>
      <c r="B6" s="6">
        <f ca="1">IFERROR(MATCH($B$5,Dyn_Master,0)+2,"")</f>
        <v>3</v>
      </c>
      <c r="C6" s="10"/>
      <c r="D6" s="11"/>
      <c r="E6" s="12"/>
      <c r="F6" s="12"/>
      <c r="G6" s="12"/>
      <c r="H6"/>
      <c r="I6" s="13"/>
      <c r="J6" s="10"/>
    </row>
    <row r="7" spans="1:15" ht="16" customHeight="1" x14ac:dyDescent="0.35">
      <c r="C7" s="10"/>
      <c r="D7" s="11"/>
      <c r="E7" s="12"/>
      <c r="F7" s="12"/>
      <c r="G7" s="12"/>
      <c r="H7"/>
      <c r="I7" s="13"/>
      <c r="J7" s="10"/>
    </row>
    <row r="8" spans="1:15" x14ac:dyDescent="0.35">
      <c r="C8" s="4" t="s">
        <v>5</v>
      </c>
      <c r="D8" s="3" t="s">
        <v>0</v>
      </c>
      <c r="E8" s="3" t="s">
        <v>2</v>
      </c>
      <c r="F8" s="3" t="s">
        <v>3</v>
      </c>
      <c r="G8" s="3" t="s">
        <v>4</v>
      </c>
      <c r="H8" s="14" t="s">
        <v>7</v>
      </c>
      <c r="I8" s="23" t="s">
        <v>8</v>
      </c>
      <c r="J8" s="3" t="s">
        <v>9</v>
      </c>
      <c r="K8" s="32" t="s">
        <v>35</v>
      </c>
    </row>
    <row r="9" spans="1:15" x14ac:dyDescent="0.35">
      <c r="C9" s="10">
        <v>1</v>
      </c>
      <c r="D9" s="37" t="s">
        <v>40</v>
      </c>
      <c r="E9" s="38" t="s">
        <v>42</v>
      </c>
      <c r="F9" s="39" t="s">
        <v>28</v>
      </c>
      <c r="G9" s="39" t="s">
        <v>29</v>
      </c>
      <c r="H9" s="19">
        <v>2</v>
      </c>
      <c r="I9" s="15">
        <v>90</v>
      </c>
      <c r="J9" s="10">
        <v>1</v>
      </c>
      <c r="K9" s="1">
        <v>2022</v>
      </c>
    </row>
    <row r="10" spans="1:15" x14ac:dyDescent="0.35">
      <c r="C10" s="10">
        <v>2</v>
      </c>
      <c r="D10" s="37" t="s">
        <v>41</v>
      </c>
      <c r="E10" s="38" t="s">
        <v>42</v>
      </c>
      <c r="F10" s="39" t="s">
        <v>31</v>
      </c>
      <c r="G10" s="39" t="s">
        <v>32</v>
      </c>
      <c r="H10" s="19">
        <v>2</v>
      </c>
      <c r="I10" s="15">
        <v>60</v>
      </c>
      <c r="J10" s="10">
        <v>1</v>
      </c>
      <c r="K10" s="1">
        <v>2022</v>
      </c>
    </row>
    <row r="11" spans="1:15" x14ac:dyDescent="0.35">
      <c r="C11" s="10">
        <v>3</v>
      </c>
      <c r="D11" s="37" t="s">
        <v>43</v>
      </c>
      <c r="E11" s="38" t="s">
        <v>42</v>
      </c>
      <c r="F11" s="39" t="s">
        <v>44</v>
      </c>
      <c r="G11" s="39" t="s">
        <v>45</v>
      </c>
      <c r="H11" s="19">
        <v>2</v>
      </c>
      <c r="I11" s="15">
        <v>120</v>
      </c>
      <c r="J11" s="10">
        <v>1</v>
      </c>
      <c r="K11" s="1">
        <v>2022</v>
      </c>
    </row>
    <row r="12" spans="1:15" x14ac:dyDescent="0.35">
      <c r="C12" s="10"/>
      <c r="D12" s="37"/>
      <c r="E12" s="38"/>
      <c r="F12" s="39"/>
      <c r="G12" s="39"/>
      <c r="H12" s="19"/>
      <c r="I12" s="15"/>
      <c r="J12" s="10"/>
    </row>
    <row r="13" spans="1:15" x14ac:dyDescent="0.35">
      <c r="C13" s="10"/>
      <c r="D13" s="37"/>
      <c r="E13" s="38"/>
      <c r="F13" s="39"/>
      <c r="G13" s="39"/>
      <c r="H13" s="19"/>
      <c r="I13" s="15"/>
      <c r="J13" s="10"/>
    </row>
    <row r="14" spans="1:15" x14ac:dyDescent="0.35">
      <c r="C14" s="10"/>
      <c r="D14" s="37"/>
      <c r="E14" s="38"/>
      <c r="F14" s="39"/>
      <c r="G14" s="39"/>
      <c r="H14" s="19"/>
      <c r="I14" s="15"/>
      <c r="J14" s="10"/>
    </row>
    <row r="15" spans="1:15" x14ac:dyDescent="0.35">
      <c r="C15" s="10"/>
      <c r="D15" s="37"/>
      <c r="E15" s="38"/>
      <c r="F15" s="39"/>
      <c r="G15" s="39"/>
      <c r="H15" s="19"/>
      <c r="I15" s="15"/>
      <c r="J15" s="10"/>
    </row>
    <row r="16" spans="1:15" x14ac:dyDescent="0.35">
      <c r="C16" s="10"/>
      <c r="D16" s="37"/>
      <c r="E16" s="38"/>
      <c r="F16" s="39"/>
      <c r="G16" s="39"/>
      <c r="H16" s="19"/>
      <c r="I16" s="15"/>
      <c r="J16" s="10"/>
    </row>
    <row r="17" spans="3:10" x14ac:dyDescent="0.35">
      <c r="C17" s="10"/>
      <c r="D17" s="37"/>
      <c r="E17" s="38"/>
      <c r="F17" s="39"/>
      <c r="G17" s="39"/>
      <c r="H17" s="19"/>
      <c r="I17" s="15"/>
      <c r="J17" s="10"/>
    </row>
    <row r="18" spans="3:10" x14ac:dyDescent="0.35">
      <c r="C18" s="10"/>
      <c r="D18" s="37"/>
      <c r="E18" s="38"/>
      <c r="F18" s="39"/>
      <c r="G18" s="39"/>
      <c r="H18" s="19"/>
      <c r="I18" s="15"/>
      <c r="J18" s="10"/>
    </row>
    <row r="19" spans="3:10" x14ac:dyDescent="0.35">
      <c r="C19" s="10"/>
      <c r="D19" s="37"/>
      <c r="E19" s="38"/>
      <c r="F19" s="39"/>
      <c r="G19" s="39"/>
      <c r="H19" s="19"/>
      <c r="I19" s="15"/>
      <c r="J19" s="10"/>
    </row>
    <row r="20" spans="3:10" x14ac:dyDescent="0.35">
      <c r="C20" s="10"/>
      <c r="D20" s="37"/>
      <c r="E20" s="38"/>
      <c r="F20" s="39"/>
      <c r="G20" s="39"/>
      <c r="H20" s="19"/>
      <c r="I20" s="15"/>
      <c r="J20" s="10"/>
    </row>
    <row r="21" spans="3:10" x14ac:dyDescent="0.35">
      <c r="C21" s="10"/>
      <c r="D21" s="37"/>
      <c r="E21" s="38"/>
      <c r="F21" s="39"/>
      <c r="G21" s="39"/>
      <c r="H21" s="19"/>
      <c r="I21" s="15"/>
      <c r="J21" s="10"/>
    </row>
    <row r="22" spans="3:10" x14ac:dyDescent="0.35">
      <c r="C22" s="10"/>
      <c r="D22" s="37"/>
      <c r="E22" s="38"/>
      <c r="F22" s="39"/>
      <c r="G22" s="39"/>
      <c r="H22" s="19"/>
      <c r="I22" s="15"/>
      <c r="J22" s="10"/>
    </row>
    <row r="23" spans="3:10" x14ac:dyDescent="0.35">
      <c r="C23" s="10"/>
      <c r="D23" s="37"/>
      <c r="E23" s="38"/>
      <c r="F23" s="39"/>
      <c r="G23" s="39"/>
      <c r="H23" s="19"/>
      <c r="I23" s="15"/>
      <c r="J23" s="10"/>
    </row>
    <row r="24" spans="3:10" x14ac:dyDescent="0.35">
      <c r="C24" s="10"/>
      <c r="D24" s="37"/>
      <c r="E24" s="38"/>
      <c r="F24" s="39"/>
      <c r="G24" s="39"/>
      <c r="H24" s="19"/>
      <c r="I24" s="15"/>
      <c r="J24" s="10"/>
    </row>
    <row r="25" spans="3:10" x14ac:dyDescent="0.35">
      <c r="C25" s="10"/>
      <c r="D25" s="37"/>
      <c r="E25" s="38"/>
      <c r="F25" s="39"/>
      <c r="G25" s="39"/>
      <c r="H25" s="19"/>
      <c r="I25" s="15"/>
      <c r="J25" s="10"/>
    </row>
    <row r="26" spans="3:10" x14ac:dyDescent="0.35">
      <c r="C26" s="10"/>
      <c r="D26" s="37"/>
      <c r="E26" s="38"/>
      <c r="F26" s="39"/>
      <c r="G26" s="39"/>
      <c r="H26" s="19"/>
      <c r="I26" s="15"/>
      <c r="J26" s="10"/>
    </row>
    <row r="27" spans="3:10" x14ac:dyDescent="0.35">
      <c r="C27" s="10"/>
      <c r="D27" s="37"/>
      <c r="E27" s="38"/>
      <c r="F27" s="39"/>
      <c r="G27" s="39"/>
      <c r="H27" s="19"/>
      <c r="I27" s="15"/>
      <c r="J27" s="10"/>
    </row>
    <row r="28" spans="3:10" x14ac:dyDescent="0.35">
      <c r="C28" s="10"/>
      <c r="D28" s="37"/>
      <c r="E28" s="38"/>
      <c r="F28" s="39"/>
      <c r="G28" s="39"/>
      <c r="H28" s="19"/>
      <c r="I28" s="15"/>
      <c r="J28" s="10"/>
    </row>
    <row r="29" spans="3:10" x14ac:dyDescent="0.35">
      <c r="C29" s="10"/>
      <c r="D29" s="37"/>
      <c r="E29" s="38"/>
      <c r="F29" s="39"/>
      <c r="G29" s="39"/>
      <c r="H29" s="19"/>
      <c r="I29" s="15"/>
      <c r="J29" s="10"/>
    </row>
    <row r="30" spans="3:10" x14ac:dyDescent="0.35">
      <c r="C30" s="10"/>
      <c r="D30" s="37"/>
      <c r="E30" s="38"/>
      <c r="F30" s="39"/>
      <c r="G30" s="39"/>
      <c r="H30" s="19"/>
      <c r="I30" s="15"/>
      <c r="J30" s="10"/>
    </row>
    <row r="31" spans="3:10" x14ac:dyDescent="0.35">
      <c r="C31" s="10"/>
      <c r="D31" s="37"/>
      <c r="E31" s="38"/>
      <c r="F31" s="39"/>
      <c r="G31" s="39"/>
      <c r="H31" s="19"/>
      <c r="I31" s="15"/>
      <c r="J31" s="10"/>
    </row>
    <row r="32" spans="3:10" x14ac:dyDescent="0.35">
      <c r="C32" s="10"/>
      <c r="D32" s="37"/>
      <c r="E32" s="38"/>
      <c r="F32" s="39"/>
      <c r="G32" s="39"/>
      <c r="H32" s="19"/>
      <c r="I32" s="15"/>
      <c r="J32" s="10"/>
    </row>
    <row r="33" spans="3:10" x14ac:dyDescent="0.35">
      <c r="C33" s="10"/>
      <c r="D33" s="37"/>
      <c r="E33" s="38"/>
      <c r="F33" s="39"/>
      <c r="G33" s="39"/>
      <c r="H33" s="19"/>
      <c r="I33" s="15"/>
      <c r="J33" s="10"/>
    </row>
    <row r="34" spans="3:10" x14ac:dyDescent="0.35">
      <c r="C34" s="10"/>
      <c r="D34" s="37"/>
      <c r="E34" s="38"/>
      <c r="F34" s="39"/>
      <c r="G34" s="39"/>
      <c r="H34" s="19"/>
      <c r="I34" s="15"/>
      <c r="J34" s="10"/>
    </row>
    <row r="35" spans="3:10" x14ac:dyDescent="0.35">
      <c r="C35" s="10"/>
      <c r="D35" s="37"/>
      <c r="E35" s="38"/>
      <c r="F35" s="39"/>
      <c r="G35" s="39"/>
      <c r="H35" s="19"/>
      <c r="I35" s="15"/>
      <c r="J35" s="10"/>
    </row>
    <row r="36" spans="3:10" x14ac:dyDescent="0.35">
      <c r="C36" s="10"/>
      <c r="D36" s="37"/>
      <c r="E36" s="38"/>
      <c r="F36" s="39"/>
      <c r="G36" s="39"/>
      <c r="H36" s="19"/>
      <c r="I36" s="15"/>
      <c r="J36" s="10"/>
    </row>
    <row r="37" spans="3:10" x14ac:dyDescent="0.35">
      <c r="C37" s="10"/>
      <c r="D37" s="37"/>
      <c r="E37" s="38"/>
      <c r="F37" s="39"/>
      <c r="G37" s="39"/>
      <c r="H37" s="19"/>
      <c r="I37" s="15"/>
      <c r="J37" s="10"/>
    </row>
    <row r="38" spans="3:10" x14ac:dyDescent="0.35">
      <c r="C38" s="10"/>
      <c r="D38" s="37"/>
      <c r="E38" s="38"/>
      <c r="F38" s="39"/>
      <c r="G38" s="39"/>
      <c r="H38" s="19"/>
      <c r="I38" s="15"/>
      <c r="J38" s="10"/>
    </row>
    <row r="39" spans="3:10" x14ac:dyDescent="0.35">
      <c r="C39" s="10"/>
      <c r="D39" s="37"/>
      <c r="E39" s="38"/>
      <c r="F39" s="39"/>
      <c r="G39" s="39"/>
      <c r="H39" s="19"/>
      <c r="I39" s="15"/>
      <c r="J39" s="10"/>
    </row>
    <row r="40" spans="3:10" x14ac:dyDescent="0.35">
      <c r="C40" s="10"/>
      <c r="D40" s="37"/>
      <c r="E40" s="38"/>
      <c r="F40" s="39"/>
      <c r="G40" s="39"/>
      <c r="H40" s="19"/>
      <c r="I40" s="15"/>
      <c r="J40" s="10"/>
    </row>
    <row r="41" spans="3:10" x14ac:dyDescent="0.35">
      <c r="C41" s="10"/>
      <c r="D41" s="37"/>
      <c r="E41" s="38"/>
      <c r="F41" s="39"/>
      <c r="G41" s="39"/>
      <c r="H41" s="19"/>
      <c r="I41" s="15"/>
      <c r="J41" s="10"/>
    </row>
    <row r="42" spans="3:10" x14ac:dyDescent="0.35">
      <c r="C42" s="10"/>
      <c r="D42" s="37"/>
      <c r="E42" s="38"/>
      <c r="F42" s="39"/>
      <c r="G42" s="39"/>
      <c r="H42" s="19"/>
      <c r="I42" s="15"/>
      <c r="J42" s="10"/>
    </row>
    <row r="43" spans="3:10" x14ac:dyDescent="0.35">
      <c r="C43" s="10"/>
      <c r="D43" s="37"/>
      <c r="E43" s="38"/>
      <c r="F43" s="39"/>
      <c r="G43" s="39"/>
      <c r="H43" s="19"/>
      <c r="I43" s="15"/>
      <c r="J43" s="10"/>
    </row>
    <row r="44" spans="3:10" x14ac:dyDescent="0.35">
      <c r="C44" s="10"/>
      <c r="D44" s="37"/>
      <c r="E44" s="38"/>
      <c r="F44" s="39"/>
      <c r="G44" s="39"/>
      <c r="H44" s="19"/>
      <c r="I44" s="15"/>
      <c r="J44" s="10"/>
    </row>
    <row r="45" spans="3:10" x14ac:dyDescent="0.35">
      <c r="C45" s="10"/>
      <c r="D45" s="37"/>
      <c r="E45" s="38"/>
      <c r="F45" s="39"/>
      <c r="G45" s="39"/>
      <c r="H45" s="19"/>
      <c r="I45" s="15"/>
      <c r="J45" s="10"/>
    </row>
    <row r="46" spans="3:10" x14ac:dyDescent="0.35">
      <c r="C46" s="10"/>
      <c r="D46" s="37"/>
      <c r="E46" s="38"/>
      <c r="F46" s="39"/>
      <c r="G46" s="39"/>
      <c r="H46" s="19"/>
      <c r="I46" s="15"/>
      <c r="J46" s="10"/>
    </row>
    <row r="47" spans="3:10" x14ac:dyDescent="0.35">
      <c r="C47" s="10"/>
      <c r="D47" s="37"/>
      <c r="E47" s="38"/>
      <c r="F47" s="39"/>
      <c r="G47" s="39"/>
      <c r="H47" s="19"/>
      <c r="I47" s="15"/>
      <c r="J47" s="10"/>
    </row>
    <row r="48" spans="3:10" x14ac:dyDescent="0.35">
      <c r="C48" s="10"/>
      <c r="D48" s="37"/>
      <c r="E48" s="38"/>
      <c r="F48" s="39"/>
      <c r="G48" s="39"/>
      <c r="H48" s="19"/>
      <c r="I48" s="15"/>
      <c r="J48" s="10"/>
    </row>
    <row r="49" spans="3:10" x14ac:dyDescent="0.35">
      <c r="C49" s="10"/>
      <c r="D49" s="37"/>
      <c r="E49" s="38"/>
      <c r="F49" s="39"/>
      <c r="G49" s="39"/>
      <c r="H49" s="19"/>
      <c r="I49" s="15"/>
      <c r="J49" s="10"/>
    </row>
    <row r="50" spans="3:10" x14ac:dyDescent="0.35">
      <c r="C50" s="10"/>
      <c r="D50" s="37"/>
      <c r="E50" s="38"/>
      <c r="F50" s="39"/>
      <c r="G50" s="39"/>
      <c r="H50" s="19"/>
      <c r="I50" s="15"/>
      <c r="J50" s="10"/>
    </row>
    <row r="51" spans="3:10" x14ac:dyDescent="0.35">
      <c r="C51" s="10"/>
      <c r="D51" s="37"/>
      <c r="E51" s="38"/>
      <c r="F51" s="39"/>
      <c r="G51" s="39"/>
      <c r="H51" s="19"/>
      <c r="I51" s="15"/>
      <c r="J51" s="10"/>
    </row>
    <row r="52" spans="3:10" x14ac:dyDescent="0.35">
      <c r="C52" s="10"/>
      <c r="D52" s="37"/>
      <c r="E52" s="38"/>
      <c r="F52" s="39"/>
      <c r="G52" s="39"/>
      <c r="H52" s="19"/>
      <c r="I52" s="15"/>
      <c r="J52" s="10"/>
    </row>
    <row r="53" spans="3:10" x14ac:dyDescent="0.35">
      <c r="C53" s="10"/>
      <c r="D53" s="37"/>
      <c r="E53" s="38"/>
      <c r="F53" s="39"/>
      <c r="G53" s="39"/>
      <c r="H53" s="19"/>
      <c r="I53" s="15"/>
      <c r="J53" s="10"/>
    </row>
    <row r="54" spans="3:10" x14ac:dyDescent="0.35">
      <c r="C54" s="10"/>
      <c r="D54" s="37"/>
      <c r="E54" s="38"/>
      <c r="F54" s="39"/>
      <c r="G54" s="39"/>
      <c r="H54" s="19"/>
      <c r="I54" s="15"/>
      <c r="J54" s="10"/>
    </row>
    <row r="55" spans="3:10" x14ac:dyDescent="0.35">
      <c r="C55" s="10"/>
      <c r="D55" s="37"/>
      <c r="E55" s="38"/>
      <c r="F55" s="39"/>
      <c r="G55" s="39"/>
      <c r="H55" s="19"/>
      <c r="I55" s="15"/>
      <c r="J55" s="10"/>
    </row>
    <row r="56" spans="3:10" x14ac:dyDescent="0.35">
      <c r="C56" s="10"/>
      <c r="D56" s="37"/>
      <c r="E56" s="38"/>
      <c r="F56" s="39"/>
      <c r="G56" s="39"/>
      <c r="H56" s="19"/>
      <c r="I56" s="15"/>
      <c r="J56" s="10"/>
    </row>
    <row r="57" spans="3:10" x14ac:dyDescent="0.35">
      <c r="C57" s="10"/>
      <c r="D57" s="37"/>
      <c r="E57" s="38"/>
      <c r="F57" s="39"/>
      <c r="G57" s="39"/>
      <c r="H57" s="19"/>
      <c r="I57" s="15"/>
      <c r="J57" s="10"/>
    </row>
    <row r="58" spans="3:10" x14ac:dyDescent="0.35">
      <c r="C58" s="10"/>
      <c r="D58" s="37"/>
      <c r="E58" s="38"/>
      <c r="F58" s="39"/>
      <c r="G58" s="39"/>
      <c r="H58" s="19"/>
      <c r="I58" s="15"/>
      <c r="J58" s="10"/>
    </row>
    <row r="59" spans="3:10" x14ac:dyDescent="0.35">
      <c r="C59" s="10"/>
      <c r="D59" s="37"/>
      <c r="E59" s="38"/>
      <c r="F59" s="39"/>
      <c r="G59" s="39"/>
      <c r="H59" s="19"/>
      <c r="I59" s="15"/>
      <c r="J59" s="10"/>
    </row>
    <row r="60" spans="3:10" x14ac:dyDescent="0.35">
      <c r="C60" s="10"/>
      <c r="D60" s="37"/>
      <c r="E60" s="38"/>
      <c r="F60" s="39"/>
      <c r="G60" s="39"/>
      <c r="H60" s="19"/>
      <c r="I60" s="15"/>
      <c r="J60" s="10"/>
    </row>
    <row r="61" spans="3:10" x14ac:dyDescent="0.35">
      <c r="C61" s="10"/>
      <c r="D61" s="37"/>
      <c r="E61" s="38"/>
      <c r="F61" s="39"/>
      <c r="G61" s="39"/>
      <c r="H61" s="19"/>
      <c r="I61" s="15"/>
      <c r="J61" s="10"/>
    </row>
    <row r="62" spans="3:10" x14ac:dyDescent="0.35">
      <c r="C62" s="10"/>
      <c r="D62" s="37"/>
      <c r="E62" s="38"/>
      <c r="F62" s="39"/>
      <c r="G62" s="39"/>
      <c r="H62" s="19"/>
      <c r="I62" s="15"/>
      <c r="J62" s="10"/>
    </row>
    <row r="63" spans="3:10" x14ac:dyDescent="0.35">
      <c r="C63" s="10"/>
      <c r="D63" s="37"/>
      <c r="E63" s="38"/>
      <c r="F63" s="39"/>
      <c r="G63" s="39"/>
      <c r="H63" s="19"/>
      <c r="I63" s="15"/>
      <c r="J63" s="10"/>
    </row>
    <row r="64" spans="3:10" x14ac:dyDescent="0.35">
      <c r="C64" s="10"/>
      <c r="D64" s="37"/>
      <c r="E64" s="38"/>
      <c r="F64" s="39"/>
      <c r="G64" s="39"/>
      <c r="H64" s="19"/>
      <c r="I64" s="15"/>
      <c r="J64" s="10"/>
    </row>
    <row r="65" spans="3:10" x14ac:dyDescent="0.35">
      <c r="C65" s="10"/>
      <c r="D65" s="37"/>
      <c r="E65" s="38"/>
      <c r="F65" s="39"/>
      <c r="G65" s="39"/>
      <c r="H65" s="19"/>
      <c r="I65" s="15"/>
      <c r="J65" s="10"/>
    </row>
    <row r="66" spans="3:10" x14ac:dyDescent="0.35">
      <c r="C66" s="10"/>
      <c r="D66" s="37"/>
      <c r="E66" s="38"/>
      <c r="F66" s="39"/>
      <c r="G66" s="39"/>
      <c r="H66" s="19"/>
      <c r="I66" s="15"/>
      <c r="J66" s="10"/>
    </row>
    <row r="67" spans="3:10" x14ac:dyDescent="0.35">
      <c r="C67" s="10"/>
      <c r="D67" s="37"/>
      <c r="E67" s="38"/>
      <c r="F67" s="39"/>
      <c r="G67" s="39"/>
      <c r="H67" s="19"/>
      <c r="I67" s="15"/>
      <c r="J67" s="10"/>
    </row>
    <row r="68" spans="3:10" x14ac:dyDescent="0.35">
      <c r="C68" s="10"/>
      <c r="D68" s="37"/>
      <c r="E68" s="38"/>
      <c r="F68" s="39"/>
      <c r="G68" s="39"/>
      <c r="H68" s="19"/>
      <c r="I68" s="15"/>
      <c r="J68" s="10"/>
    </row>
    <row r="69" spans="3:10" x14ac:dyDescent="0.35">
      <c r="C69" s="10"/>
      <c r="D69" s="37"/>
      <c r="E69" s="38"/>
      <c r="F69" s="39"/>
      <c r="G69" s="39"/>
      <c r="H69" s="19"/>
      <c r="I69" s="15"/>
      <c r="J69" s="10"/>
    </row>
    <row r="70" spans="3:10" x14ac:dyDescent="0.35">
      <c r="C70" s="10"/>
      <c r="D70" s="37"/>
      <c r="E70" s="38"/>
      <c r="F70" s="39"/>
      <c r="G70" s="39"/>
      <c r="H70" s="19"/>
      <c r="I70" s="15"/>
      <c r="J70" s="10"/>
    </row>
    <row r="71" spans="3:10" x14ac:dyDescent="0.35">
      <c r="C71" s="10"/>
      <c r="D71" s="37"/>
      <c r="E71" s="38"/>
      <c r="F71" s="39"/>
      <c r="G71" s="39"/>
      <c r="H71" s="19"/>
      <c r="I71" s="15"/>
      <c r="J71" s="10"/>
    </row>
    <row r="72" spans="3:10" x14ac:dyDescent="0.35">
      <c r="C72" s="10"/>
      <c r="D72" s="37"/>
      <c r="E72" s="38"/>
      <c r="F72" s="39"/>
      <c r="G72" s="39"/>
      <c r="H72" s="19"/>
      <c r="I72" s="15"/>
      <c r="J72" s="10"/>
    </row>
    <row r="73" spans="3:10" x14ac:dyDescent="0.35">
      <c r="C73" s="10"/>
      <c r="D73" s="37"/>
      <c r="E73" s="38"/>
      <c r="F73" s="39"/>
      <c r="G73" s="39"/>
      <c r="H73" s="19"/>
      <c r="I73" s="15"/>
      <c r="J73" s="10"/>
    </row>
    <row r="74" spans="3:10" x14ac:dyDescent="0.35">
      <c r="C74" s="10"/>
      <c r="D74" s="37"/>
      <c r="E74" s="38"/>
      <c r="F74" s="39"/>
      <c r="G74" s="39"/>
      <c r="H74" s="19"/>
      <c r="I74" s="15"/>
      <c r="J74" s="10"/>
    </row>
    <row r="75" spans="3:10" x14ac:dyDescent="0.35">
      <c r="C75" s="10"/>
      <c r="D75" s="37"/>
      <c r="E75" s="38"/>
      <c r="F75" s="39"/>
      <c r="G75" s="39"/>
      <c r="H75" s="19"/>
      <c r="I75" s="15"/>
      <c r="J75" s="10"/>
    </row>
    <row r="76" spans="3:10" x14ac:dyDescent="0.35">
      <c r="C76" s="10"/>
      <c r="D76" s="37"/>
      <c r="E76" s="38"/>
      <c r="F76" s="39"/>
      <c r="G76" s="39"/>
      <c r="H76" s="19"/>
      <c r="I76" s="15"/>
      <c r="J76" s="10"/>
    </row>
    <row r="77" spans="3:10" x14ac:dyDescent="0.35">
      <c r="C77" s="10"/>
      <c r="D77" s="37"/>
      <c r="E77" s="38"/>
      <c r="F77" s="39"/>
      <c r="G77" s="39"/>
      <c r="H77" s="19"/>
      <c r="I77" s="15"/>
      <c r="J77" s="10"/>
    </row>
    <row r="78" spans="3:10" x14ac:dyDescent="0.35">
      <c r="C78" s="10"/>
      <c r="D78" s="37"/>
      <c r="E78" s="38"/>
      <c r="F78" s="39"/>
      <c r="G78" s="39"/>
      <c r="H78" s="19"/>
      <c r="I78" s="15"/>
      <c r="J78" s="10"/>
    </row>
    <row r="79" spans="3:10" x14ac:dyDescent="0.35">
      <c r="C79" s="10"/>
      <c r="D79" s="37"/>
      <c r="E79" s="38"/>
      <c r="F79" s="39"/>
      <c r="G79" s="39"/>
      <c r="H79" s="19"/>
      <c r="I79" s="15"/>
      <c r="J79" s="10"/>
    </row>
    <row r="80" spans="3:10" x14ac:dyDescent="0.35">
      <c r="C80" s="10"/>
      <c r="D80" s="37"/>
      <c r="E80" s="38"/>
      <c r="F80" s="39"/>
      <c r="G80" s="39"/>
      <c r="H80" s="19"/>
      <c r="I80" s="15"/>
      <c r="J80" s="10"/>
    </row>
    <row r="81" spans="3:10" x14ac:dyDescent="0.35">
      <c r="C81" s="10"/>
      <c r="D81" s="37"/>
      <c r="E81" s="38"/>
      <c r="F81" s="39"/>
      <c r="G81" s="39"/>
      <c r="H81" s="19"/>
      <c r="I81" s="15"/>
      <c r="J81" s="10"/>
    </row>
    <row r="82" spans="3:10" x14ac:dyDescent="0.35">
      <c r="C82" s="10"/>
      <c r="D82" s="37"/>
      <c r="E82" s="38"/>
      <c r="F82" s="39"/>
      <c r="G82" s="39"/>
      <c r="H82" s="19"/>
      <c r="I82" s="15"/>
      <c r="J82" s="10"/>
    </row>
    <row r="83" spans="3:10" x14ac:dyDescent="0.35">
      <c r="C83" s="10"/>
      <c r="D83" s="37"/>
      <c r="E83" s="38"/>
      <c r="F83" s="39"/>
      <c r="G83" s="39"/>
      <c r="H83" s="19"/>
      <c r="I83" s="15"/>
      <c r="J83" s="10"/>
    </row>
    <row r="84" spans="3:10" x14ac:dyDescent="0.35">
      <c r="C84" s="10"/>
      <c r="D84" s="37"/>
      <c r="E84" s="38"/>
      <c r="F84" s="39"/>
      <c r="G84" s="39"/>
      <c r="H84" s="19"/>
      <c r="I84" s="15"/>
      <c r="J84" s="10"/>
    </row>
    <row r="85" spans="3:10" x14ac:dyDescent="0.35">
      <c r="C85" s="10"/>
      <c r="D85" s="37"/>
      <c r="E85" s="38"/>
      <c r="F85" s="39"/>
      <c r="G85" s="39"/>
      <c r="H85" s="19"/>
      <c r="I85" s="15"/>
      <c r="J85" s="10"/>
    </row>
    <row r="86" spans="3:10" x14ac:dyDescent="0.35">
      <c r="C86" s="10"/>
      <c r="D86" s="37"/>
      <c r="E86" s="38"/>
      <c r="F86" s="39"/>
      <c r="G86" s="39"/>
      <c r="H86" s="19"/>
      <c r="I86" s="15"/>
      <c r="J86" s="10"/>
    </row>
    <row r="87" spans="3:10" x14ac:dyDescent="0.35">
      <c r="C87" s="10"/>
      <c r="D87" s="37"/>
      <c r="E87" s="38"/>
      <c r="F87" s="39"/>
      <c r="G87" s="39"/>
      <c r="H87" s="19"/>
      <c r="I87" s="15"/>
      <c r="J87" s="10"/>
    </row>
    <row r="88" spans="3:10" x14ac:dyDescent="0.35">
      <c r="C88" s="10"/>
      <c r="D88" s="37"/>
      <c r="E88" s="38"/>
      <c r="F88" s="39"/>
      <c r="G88" s="39"/>
      <c r="H88" s="19"/>
      <c r="I88" s="15"/>
      <c r="J88" s="10"/>
    </row>
    <row r="89" spans="3:10" x14ac:dyDescent="0.35">
      <c r="C89" s="10"/>
      <c r="D89" s="37"/>
      <c r="E89" s="38"/>
      <c r="F89" s="39"/>
      <c r="G89" s="39"/>
      <c r="H89" s="19"/>
      <c r="I89" s="15"/>
      <c r="J89" s="10"/>
    </row>
    <row r="90" spans="3:10" x14ac:dyDescent="0.35">
      <c r="C90" s="10"/>
      <c r="D90" s="37"/>
      <c r="E90" s="38"/>
      <c r="F90" s="39"/>
      <c r="G90" s="39"/>
      <c r="H90" s="19"/>
      <c r="I90" s="15"/>
      <c r="J90" s="10"/>
    </row>
    <row r="91" spans="3:10" x14ac:dyDescent="0.35">
      <c r="C91" s="10"/>
      <c r="D91" s="37"/>
      <c r="E91" s="38"/>
      <c r="F91" s="39"/>
      <c r="G91" s="39"/>
      <c r="H91" s="19"/>
      <c r="I91" s="15"/>
      <c r="J91" s="10"/>
    </row>
    <row r="92" spans="3:10" x14ac:dyDescent="0.35">
      <c r="C92" s="10"/>
      <c r="D92" s="37"/>
      <c r="E92" s="38"/>
      <c r="F92" s="39"/>
      <c r="G92" s="39"/>
      <c r="H92" s="19"/>
      <c r="I92" s="15"/>
      <c r="J92" s="10"/>
    </row>
    <row r="93" spans="3:10" x14ac:dyDescent="0.35">
      <c r="C93" s="10"/>
      <c r="D93" s="37"/>
      <c r="E93" s="38"/>
      <c r="F93" s="39"/>
      <c r="G93" s="39"/>
      <c r="H93" s="19"/>
      <c r="I93" s="15"/>
      <c r="J93" s="10"/>
    </row>
    <row r="94" spans="3:10" x14ac:dyDescent="0.35">
      <c r="C94" s="10"/>
      <c r="D94" s="37"/>
      <c r="E94" s="38"/>
      <c r="F94" s="39"/>
      <c r="G94" s="39"/>
      <c r="H94" s="19"/>
      <c r="I94" s="15"/>
      <c r="J94" s="10"/>
    </row>
    <row r="95" spans="3:10" x14ac:dyDescent="0.35">
      <c r="C95" s="10"/>
      <c r="D95" s="37"/>
      <c r="E95" s="38"/>
      <c r="F95" s="39"/>
      <c r="G95" s="39"/>
      <c r="H95" s="19"/>
      <c r="I95" s="15"/>
      <c r="J95" s="10"/>
    </row>
    <row r="96" spans="3:10" x14ac:dyDescent="0.35">
      <c r="C96" s="10"/>
      <c r="D96" s="37"/>
      <c r="E96" s="38"/>
      <c r="F96" s="39"/>
      <c r="G96" s="39"/>
      <c r="H96" s="19"/>
      <c r="I96" s="15"/>
      <c r="J96" s="10"/>
    </row>
    <row r="97" spans="3:10" x14ac:dyDescent="0.35">
      <c r="C97" s="10"/>
      <c r="D97" s="37"/>
      <c r="E97" s="38"/>
      <c r="F97" s="39"/>
      <c r="G97" s="39"/>
      <c r="H97" s="19"/>
      <c r="I97" s="15"/>
      <c r="J97" s="10"/>
    </row>
    <row r="98" spans="3:10" x14ac:dyDescent="0.35">
      <c r="C98" s="10"/>
      <c r="D98" s="37"/>
      <c r="E98" s="38"/>
      <c r="F98" s="39"/>
      <c r="G98" s="39"/>
      <c r="H98" s="19"/>
      <c r="I98" s="15"/>
      <c r="J98" s="10"/>
    </row>
    <row r="99" spans="3:10" x14ac:dyDescent="0.35">
      <c r="C99" s="10"/>
      <c r="D99" s="37"/>
      <c r="E99" s="38"/>
      <c r="F99" s="39"/>
      <c r="G99" s="39"/>
      <c r="H99" s="19"/>
      <c r="I99" s="15"/>
      <c r="J99" s="10"/>
    </row>
    <row r="100" spans="3:10" x14ac:dyDescent="0.35">
      <c r="C100" s="10"/>
      <c r="D100" s="37"/>
      <c r="E100" s="38"/>
      <c r="F100" s="39"/>
      <c r="G100" s="39"/>
      <c r="H100" s="19"/>
      <c r="I100" s="15"/>
      <c r="J100" s="10"/>
    </row>
    <row r="101" spans="3:10" x14ac:dyDescent="0.35">
      <c r="C101" s="10"/>
      <c r="D101" s="37"/>
      <c r="E101" s="38"/>
      <c r="F101" s="39"/>
      <c r="G101" s="39"/>
      <c r="H101" s="19"/>
      <c r="I101" s="15"/>
      <c r="J101" s="10"/>
    </row>
    <row r="102" spans="3:10" x14ac:dyDescent="0.35">
      <c r="C102" s="10"/>
      <c r="D102" s="37"/>
      <c r="E102" s="38"/>
      <c r="F102" s="39"/>
      <c r="G102" s="39"/>
      <c r="H102" s="19"/>
      <c r="I102" s="15"/>
      <c r="J102" s="10"/>
    </row>
    <row r="103" spans="3:10" x14ac:dyDescent="0.35">
      <c r="C103" s="10"/>
      <c r="D103" s="37"/>
      <c r="E103" s="38"/>
      <c r="F103" s="39"/>
      <c r="G103" s="39"/>
      <c r="H103" s="19"/>
      <c r="I103" s="15"/>
      <c r="J103" s="10"/>
    </row>
    <row r="104" spans="3:10" x14ac:dyDescent="0.35">
      <c r="C104" s="10"/>
      <c r="D104" s="37"/>
      <c r="E104" s="38"/>
      <c r="F104" s="39"/>
      <c r="G104" s="39"/>
      <c r="H104" s="19"/>
      <c r="I104" s="15"/>
      <c r="J104" s="10"/>
    </row>
    <row r="105" spans="3:10" x14ac:dyDescent="0.35">
      <c r="C105" s="10"/>
      <c r="D105" s="37"/>
      <c r="E105" s="38"/>
      <c r="F105" s="39"/>
      <c r="G105" s="39"/>
      <c r="H105" s="19"/>
      <c r="I105" s="15"/>
      <c r="J105" s="10"/>
    </row>
    <row r="106" spans="3:10" x14ac:dyDescent="0.35">
      <c r="C106" s="10"/>
      <c r="D106" s="37"/>
      <c r="E106" s="38"/>
      <c r="F106" s="39"/>
      <c r="G106" s="39"/>
      <c r="H106" s="19"/>
      <c r="I106" s="15"/>
      <c r="J106" s="10"/>
    </row>
    <row r="107" spans="3:10" x14ac:dyDescent="0.35">
      <c r="C107" s="10"/>
      <c r="D107" s="37"/>
      <c r="E107" s="38"/>
      <c r="F107" s="39"/>
      <c r="G107" s="39"/>
      <c r="H107" s="19"/>
      <c r="I107" s="15"/>
      <c r="J107" s="10"/>
    </row>
    <row r="108" spans="3:10" x14ac:dyDescent="0.35">
      <c r="C108" s="10"/>
      <c r="D108" s="37"/>
      <c r="E108" s="38"/>
      <c r="F108" s="39"/>
      <c r="G108" s="39"/>
      <c r="H108" s="19"/>
      <c r="I108" s="15"/>
      <c r="J108" s="10"/>
    </row>
    <row r="109" spans="3:10" x14ac:dyDescent="0.35">
      <c r="C109" s="10"/>
      <c r="D109" s="37"/>
      <c r="E109" s="38"/>
      <c r="F109" s="39"/>
      <c r="G109" s="39"/>
      <c r="H109" s="19"/>
      <c r="I109" s="15"/>
      <c r="J109" s="10"/>
    </row>
    <row r="110" spans="3:10" x14ac:dyDescent="0.35">
      <c r="C110" s="10"/>
      <c r="D110" s="37"/>
      <c r="E110" s="38"/>
      <c r="F110" s="39"/>
      <c r="G110" s="39"/>
      <c r="H110" s="19"/>
      <c r="I110" s="15"/>
      <c r="J110" s="10"/>
    </row>
    <row r="111" spans="3:10" x14ac:dyDescent="0.35">
      <c r="C111" s="10"/>
      <c r="D111" s="37"/>
      <c r="E111" s="38"/>
      <c r="F111" s="39"/>
      <c r="G111" s="39"/>
      <c r="H111" s="19"/>
      <c r="I111" s="15"/>
      <c r="J111" s="10"/>
    </row>
    <row r="112" spans="3:10" x14ac:dyDescent="0.35">
      <c r="C112" s="10"/>
      <c r="D112" s="37"/>
      <c r="E112" s="38"/>
      <c r="F112" s="39"/>
      <c r="G112" s="39"/>
      <c r="H112" s="19"/>
      <c r="I112" s="15"/>
      <c r="J112" s="10"/>
    </row>
    <row r="113" spans="3:10" x14ac:dyDescent="0.35">
      <c r="C113" s="10"/>
      <c r="D113" s="37"/>
      <c r="E113" s="38"/>
      <c r="F113" s="39"/>
      <c r="G113" s="39"/>
      <c r="H113" s="19"/>
      <c r="I113" s="15"/>
      <c r="J113" s="10"/>
    </row>
    <row r="114" spans="3:10" x14ac:dyDescent="0.35">
      <c r="C114" s="10"/>
      <c r="D114" s="37"/>
      <c r="E114" s="38"/>
      <c r="F114" s="39"/>
      <c r="G114" s="39"/>
      <c r="H114" s="19"/>
      <c r="I114" s="15"/>
      <c r="J114" s="10"/>
    </row>
    <row r="115" spans="3:10" x14ac:dyDescent="0.35">
      <c r="C115" s="10"/>
      <c r="D115" s="37"/>
      <c r="E115" s="38"/>
      <c r="F115" s="39"/>
      <c r="G115" s="39"/>
      <c r="H115" s="19"/>
      <c r="I115" s="15"/>
      <c r="J115" s="10"/>
    </row>
    <row r="116" spans="3:10" x14ac:dyDescent="0.35">
      <c r="C116" s="10"/>
      <c r="D116" s="37"/>
      <c r="E116" s="38"/>
      <c r="F116" s="39"/>
      <c r="G116" s="39"/>
      <c r="H116" s="19"/>
      <c r="I116" s="15"/>
      <c r="J116" s="10"/>
    </row>
    <row r="117" spans="3:10" x14ac:dyDescent="0.35">
      <c r="C117" s="10"/>
      <c r="D117" s="37"/>
      <c r="E117" s="38"/>
      <c r="F117" s="39"/>
      <c r="G117" s="39"/>
      <c r="H117" s="19"/>
      <c r="I117" s="15"/>
      <c r="J117" s="10"/>
    </row>
    <row r="118" spans="3:10" x14ac:dyDescent="0.35">
      <c r="C118" s="10"/>
      <c r="D118" s="37"/>
      <c r="E118" s="38"/>
      <c r="F118" s="39"/>
      <c r="G118" s="39"/>
      <c r="H118" s="19"/>
      <c r="I118" s="15"/>
      <c r="J118" s="10"/>
    </row>
    <row r="119" spans="3:10" x14ac:dyDescent="0.35">
      <c r="C119" s="10"/>
      <c r="D119" s="37"/>
      <c r="E119" s="38"/>
      <c r="F119" s="39"/>
      <c r="G119" s="39"/>
      <c r="H119" s="19"/>
      <c r="I119" s="15"/>
      <c r="J119" s="10"/>
    </row>
    <row r="120" spans="3:10" x14ac:dyDescent="0.35">
      <c r="C120" s="10"/>
      <c r="D120" s="37"/>
      <c r="E120" s="38"/>
      <c r="F120" s="39"/>
      <c r="G120" s="39"/>
      <c r="H120" s="19"/>
      <c r="I120" s="15"/>
      <c r="J120" s="10"/>
    </row>
    <row r="121" spans="3:10" x14ac:dyDescent="0.35">
      <c r="C121" s="10"/>
      <c r="D121" s="37"/>
      <c r="E121" s="38"/>
      <c r="F121" s="39"/>
      <c r="G121" s="39"/>
      <c r="H121" s="19"/>
      <c r="I121" s="15"/>
      <c r="J121" s="10"/>
    </row>
    <row r="122" spans="3:10" x14ac:dyDescent="0.35">
      <c r="C122" s="10"/>
      <c r="D122" s="37"/>
      <c r="E122" s="38"/>
      <c r="F122" s="39"/>
      <c r="G122" s="39"/>
      <c r="H122" s="19"/>
      <c r="I122" s="15"/>
      <c r="J122" s="10"/>
    </row>
    <row r="123" spans="3:10" x14ac:dyDescent="0.35">
      <c r="C123" s="10"/>
      <c r="D123" s="37"/>
      <c r="E123" s="38"/>
      <c r="F123" s="39"/>
      <c r="G123" s="39"/>
      <c r="H123" s="19"/>
      <c r="I123" s="15"/>
      <c r="J123" s="10"/>
    </row>
    <row r="124" spans="3:10" x14ac:dyDescent="0.35">
      <c r="C124" s="10"/>
      <c r="D124" s="37"/>
      <c r="E124" s="38"/>
      <c r="F124" s="39"/>
      <c r="G124" s="39"/>
      <c r="H124" s="19"/>
      <c r="I124" s="15"/>
      <c r="J124" s="10"/>
    </row>
    <row r="125" spans="3:10" x14ac:dyDescent="0.35">
      <c r="C125" s="10"/>
      <c r="D125" s="37"/>
      <c r="E125" s="38"/>
      <c r="F125" s="39"/>
      <c r="G125" s="39"/>
      <c r="H125" s="19"/>
      <c r="I125" s="15"/>
      <c r="J125" s="10"/>
    </row>
    <row r="126" spans="3:10" x14ac:dyDescent="0.35">
      <c r="C126" s="10"/>
      <c r="D126" s="37"/>
      <c r="E126" s="38"/>
      <c r="F126" s="39"/>
      <c r="G126" s="39"/>
      <c r="H126" s="19"/>
      <c r="I126" s="15"/>
      <c r="J126" s="10"/>
    </row>
    <row r="127" spans="3:10" x14ac:dyDescent="0.35">
      <c r="C127" s="10"/>
      <c r="D127" s="37"/>
      <c r="E127" s="38"/>
      <c r="F127" s="39"/>
      <c r="G127" s="39"/>
      <c r="H127" s="19"/>
      <c r="I127" s="15"/>
      <c r="J127" s="10"/>
    </row>
    <row r="128" spans="3:10" x14ac:dyDescent="0.35">
      <c r="C128" s="10"/>
      <c r="D128" s="37"/>
      <c r="E128" s="38"/>
      <c r="F128" s="39"/>
      <c r="G128" s="39"/>
      <c r="H128" s="19"/>
      <c r="I128" s="15"/>
      <c r="J128" s="10"/>
    </row>
    <row r="129" spans="3:10" x14ac:dyDescent="0.35">
      <c r="C129" s="10"/>
      <c r="D129" s="37"/>
      <c r="E129" s="38"/>
      <c r="F129" s="39"/>
      <c r="G129" s="39"/>
      <c r="H129" s="19"/>
      <c r="I129" s="15"/>
      <c r="J129" s="10"/>
    </row>
    <row r="130" spans="3:10" x14ac:dyDescent="0.35">
      <c r="C130" s="10"/>
      <c r="D130" s="37"/>
      <c r="E130" s="38"/>
      <c r="F130" s="39"/>
      <c r="G130" s="39"/>
      <c r="H130" s="19"/>
      <c r="I130" s="15"/>
      <c r="J130" s="10"/>
    </row>
    <row r="131" spans="3:10" x14ac:dyDescent="0.35">
      <c r="C131" s="10"/>
      <c r="D131" s="37"/>
      <c r="E131" s="38"/>
      <c r="F131" s="39"/>
      <c r="G131" s="39"/>
      <c r="H131" s="19"/>
      <c r="I131" s="15"/>
      <c r="J131" s="10"/>
    </row>
    <row r="132" spans="3:10" x14ac:dyDescent="0.35">
      <c r="C132" s="10"/>
      <c r="D132" s="37"/>
      <c r="E132" s="38"/>
      <c r="F132" s="39"/>
      <c r="G132" s="39"/>
      <c r="H132" s="19"/>
      <c r="I132" s="15"/>
      <c r="J132" s="10"/>
    </row>
    <row r="133" spans="3:10" x14ac:dyDescent="0.35">
      <c r="C133" s="10"/>
      <c r="D133" s="37"/>
      <c r="E133" s="38"/>
      <c r="F133" s="39"/>
      <c r="G133" s="39"/>
      <c r="H133" s="19"/>
      <c r="I133" s="15"/>
      <c r="J133" s="10"/>
    </row>
    <row r="134" spans="3:10" x14ac:dyDescent="0.35">
      <c r="C134" s="10"/>
      <c r="D134" s="37"/>
      <c r="E134" s="38"/>
      <c r="F134" s="39"/>
      <c r="G134" s="39"/>
      <c r="H134" s="19"/>
      <c r="I134" s="15"/>
      <c r="J134" s="10"/>
    </row>
    <row r="135" spans="3:10" x14ac:dyDescent="0.35">
      <c r="C135" s="10"/>
      <c r="D135" s="37"/>
      <c r="E135" s="38"/>
      <c r="F135" s="39"/>
      <c r="G135" s="39"/>
      <c r="H135" s="19"/>
      <c r="I135" s="15"/>
      <c r="J135" s="10"/>
    </row>
    <row r="136" spans="3:10" x14ac:dyDescent="0.35">
      <c r="C136" s="10"/>
      <c r="D136" s="37"/>
      <c r="E136" s="38"/>
      <c r="F136" s="39"/>
      <c r="G136" s="39"/>
      <c r="H136" s="19"/>
      <c r="I136" s="15"/>
      <c r="J136" s="10"/>
    </row>
    <row r="137" spans="3:10" x14ac:dyDescent="0.35">
      <c r="C137" s="10"/>
      <c r="D137" s="37"/>
      <c r="E137" s="38"/>
      <c r="F137" s="39"/>
      <c r="G137" s="39"/>
      <c r="H137" s="19"/>
      <c r="I137" s="15"/>
      <c r="J137" s="10"/>
    </row>
    <row r="138" spans="3:10" x14ac:dyDescent="0.35">
      <c r="C138" s="10"/>
      <c r="D138" s="37"/>
      <c r="E138" s="38"/>
      <c r="F138" s="39"/>
      <c r="G138" s="39"/>
      <c r="H138" s="19"/>
      <c r="I138" s="15"/>
      <c r="J138" s="10"/>
    </row>
    <row r="139" spans="3:10" x14ac:dyDescent="0.35">
      <c r="C139" s="10"/>
      <c r="D139" s="37"/>
      <c r="E139" s="38"/>
      <c r="F139" s="39"/>
      <c r="G139" s="39"/>
      <c r="H139" s="19"/>
      <c r="I139" s="15"/>
      <c r="J139" s="10"/>
    </row>
    <row r="140" spans="3:10" x14ac:dyDescent="0.35">
      <c r="C140" s="10"/>
      <c r="D140" s="37"/>
      <c r="E140" s="38"/>
      <c r="F140" s="39"/>
      <c r="G140" s="39"/>
      <c r="H140" s="19"/>
      <c r="I140" s="15"/>
      <c r="J140" s="10"/>
    </row>
    <row r="141" spans="3:10" x14ac:dyDescent="0.35">
      <c r="C141" s="10"/>
      <c r="D141" s="37"/>
      <c r="E141" s="38"/>
      <c r="F141" s="39"/>
      <c r="G141" s="39"/>
      <c r="H141" s="19"/>
      <c r="I141" s="15"/>
      <c r="J141" s="10"/>
    </row>
    <row r="142" spans="3:10" x14ac:dyDescent="0.35">
      <c r="C142" s="10"/>
      <c r="D142" s="37"/>
      <c r="E142" s="38"/>
      <c r="F142" s="39"/>
      <c r="G142" s="39"/>
      <c r="H142" s="19"/>
      <c r="I142" s="15"/>
      <c r="J142" s="10"/>
    </row>
    <row r="143" spans="3:10" x14ac:dyDescent="0.35">
      <c r="C143" s="10"/>
      <c r="D143" s="37"/>
      <c r="E143" s="38"/>
      <c r="F143" s="39"/>
      <c r="G143" s="39"/>
      <c r="H143" s="19"/>
      <c r="I143" s="15"/>
      <c r="J143" s="10"/>
    </row>
    <row r="144" spans="3:10" x14ac:dyDescent="0.35">
      <c r="C144" s="10"/>
      <c r="D144" s="37"/>
      <c r="E144" s="38"/>
      <c r="F144" s="39"/>
      <c r="G144" s="39"/>
      <c r="H144" s="19"/>
      <c r="I144" s="15"/>
      <c r="J144" s="10"/>
    </row>
    <row r="145" spans="3:10" x14ac:dyDescent="0.35">
      <c r="C145" s="10"/>
      <c r="D145" s="37"/>
      <c r="E145" s="38"/>
      <c r="F145" s="39"/>
      <c r="G145" s="39"/>
      <c r="H145" s="19"/>
      <c r="I145" s="15"/>
      <c r="J145" s="10"/>
    </row>
    <row r="146" spans="3:10" x14ac:dyDescent="0.35">
      <c r="C146" s="10"/>
      <c r="D146" s="37"/>
      <c r="E146" s="38"/>
      <c r="F146" s="39"/>
      <c r="G146" s="39"/>
      <c r="H146" s="19"/>
      <c r="I146" s="15"/>
      <c r="J146" s="10"/>
    </row>
    <row r="147" spans="3:10" x14ac:dyDescent="0.35">
      <c r="C147" s="10"/>
      <c r="D147" s="37"/>
      <c r="E147" s="38"/>
      <c r="F147" s="39"/>
      <c r="G147" s="39"/>
      <c r="H147" s="19"/>
      <c r="I147" s="15"/>
      <c r="J147" s="10"/>
    </row>
    <row r="148" spans="3:10" x14ac:dyDescent="0.35">
      <c r="C148" s="10"/>
      <c r="D148" s="37"/>
      <c r="E148" s="38"/>
      <c r="F148" s="39"/>
      <c r="G148" s="39"/>
      <c r="H148" s="19"/>
      <c r="I148" s="15"/>
      <c r="J148" s="10"/>
    </row>
    <row r="149" spans="3:10" x14ac:dyDescent="0.35">
      <c r="C149" s="10"/>
      <c r="D149" s="37"/>
      <c r="E149" s="38"/>
      <c r="F149" s="39"/>
      <c r="G149" s="39"/>
      <c r="H149" s="19"/>
      <c r="I149" s="15"/>
      <c r="J149" s="10"/>
    </row>
    <row r="150" spans="3:10" x14ac:dyDescent="0.35">
      <c r="C150" s="10"/>
      <c r="D150" s="37"/>
      <c r="E150" s="38"/>
      <c r="F150" s="39"/>
      <c r="G150" s="39"/>
      <c r="H150" s="19"/>
      <c r="I150" s="15"/>
      <c r="J150" s="10"/>
    </row>
    <row r="151" spans="3:10" x14ac:dyDescent="0.35">
      <c r="C151" s="10"/>
      <c r="D151" s="37"/>
      <c r="E151" s="38"/>
      <c r="F151" s="39"/>
      <c r="G151" s="39"/>
      <c r="H151" s="19"/>
      <c r="I151" s="15"/>
      <c r="J151" s="10"/>
    </row>
    <row r="152" spans="3:10" x14ac:dyDescent="0.35">
      <c r="C152" s="10"/>
      <c r="D152" s="37"/>
      <c r="E152" s="38"/>
      <c r="F152" s="39"/>
      <c r="G152" s="39"/>
      <c r="H152" s="19"/>
      <c r="I152" s="15"/>
      <c r="J152" s="10"/>
    </row>
    <row r="153" spans="3:10" x14ac:dyDescent="0.35">
      <c r="C153" s="10"/>
      <c r="D153" s="40"/>
      <c r="E153" s="41"/>
      <c r="F153" s="40"/>
      <c r="G153" s="40"/>
      <c r="I153" s="16"/>
    </row>
    <row r="154" spans="3:10" x14ac:dyDescent="0.35">
      <c r="C154" s="10"/>
      <c r="D154" s="40"/>
      <c r="E154" s="41"/>
      <c r="F154" s="40"/>
      <c r="G154" s="40"/>
    </row>
    <row r="155" spans="3:10" x14ac:dyDescent="0.35">
      <c r="C155" s="10"/>
      <c r="D155" s="40"/>
      <c r="E155" s="41"/>
      <c r="F155" s="40"/>
      <c r="G155" s="40"/>
    </row>
    <row r="156" spans="3:10" x14ac:dyDescent="0.35">
      <c r="C156" s="10"/>
      <c r="D156" s="40"/>
      <c r="E156" s="41"/>
      <c r="F156" s="40"/>
      <c r="G156" s="40"/>
    </row>
    <row r="157" spans="3:10" x14ac:dyDescent="0.35">
      <c r="C157" s="10"/>
      <c r="D157" s="40"/>
      <c r="E157" s="41"/>
      <c r="F157" s="40"/>
      <c r="G157" s="40"/>
    </row>
    <row r="158" spans="3:10" x14ac:dyDescent="0.35">
      <c r="C158" s="10"/>
      <c r="D158" s="40"/>
      <c r="E158" s="41"/>
      <c r="F158" s="40"/>
      <c r="G158" s="40"/>
    </row>
    <row r="159" spans="3:10" x14ac:dyDescent="0.35">
      <c r="C159" s="10"/>
      <c r="D159" s="40"/>
      <c r="E159" s="41"/>
      <c r="F159" s="40"/>
      <c r="G159" s="40"/>
    </row>
    <row r="160" spans="3:10" x14ac:dyDescent="0.35">
      <c r="C160" s="10"/>
      <c r="D160" s="40"/>
      <c r="E160" s="41"/>
      <c r="F160" s="40"/>
      <c r="G160" s="40"/>
    </row>
    <row r="161" spans="3:7" x14ac:dyDescent="0.35">
      <c r="C161" s="10"/>
      <c r="D161" s="40"/>
      <c r="E161" s="41"/>
      <c r="F161" s="40"/>
      <c r="G161" s="40"/>
    </row>
    <row r="162" spans="3:7" x14ac:dyDescent="0.35">
      <c r="C162" s="10"/>
      <c r="D162" s="40"/>
      <c r="E162" s="41"/>
      <c r="F162" s="40"/>
      <c r="G162" s="40"/>
    </row>
    <row r="163" spans="3:7" x14ac:dyDescent="0.35">
      <c r="C163" s="10"/>
      <c r="D163" s="40"/>
      <c r="E163" s="41"/>
      <c r="F163" s="40"/>
      <c r="G163" s="40"/>
    </row>
    <row r="164" spans="3:7" x14ac:dyDescent="0.35">
      <c r="C164" s="10"/>
      <c r="D164" s="40"/>
      <c r="E164" s="41"/>
      <c r="F164" s="40"/>
      <c r="G164" s="40"/>
    </row>
    <row r="165" spans="3:7" x14ac:dyDescent="0.35">
      <c r="C165" s="10"/>
      <c r="D165" s="40"/>
      <c r="E165" s="41"/>
      <c r="F165" s="40"/>
      <c r="G165" s="40"/>
    </row>
    <row r="166" spans="3:7" x14ac:dyDescent="0.35">
      <c r="C166" s="10"/>
      <c r="D166" s="40"/>
      <c r="E166" s="41"/>
      <c r="F166" s="40"/>
      <c r="G166" s="40"/>
    </row>
    <row r="167" spans="3:7" x14ac:dyDescent="0.35">
      <c r="C167" s="10"/>
      <c r="D167" s="40"/>
      <c r="E167" s="41"/>
      <c r="F167" s="40"/>
      <c r="G167" s="40"/>
    </row>
    <row r="168" spans="3:7" x14ac:dyDescent="0.35">
      <c r="C168" s="10"/>
      <c r="D168" s="40"/>
      <c r="E168" s="41"/>
      <c r="F168" s="40"/>
      <c r="G168" s="40"/>
    </row>
    <row r="169" spans="3:7" x14ac:dyDescent="0.35">
      <c r="C169" s="10"/>
      <c r="D169" s="40"/>
      <c r="E169" s="41"/>
      <c r="F169" s="40"/>
      <c r="G169" s="40"/>
    </row>
    <row r="170" spans="3:7" x14ac:dyDescent="0.35">
      <c r="C170" s="10"/>
      <c r="D170" s="40"/>
      <c r="E170" s="41"/>
      <c r="F170" s="40"/>
      <c r="G170" s="40"/>
    </row>
    <row r="171" spans="3:7" x14ac:dyDescent="0.35">
      <c r="C171" s="10"/>
      <c r="D171" s="40"/>
      <c r="E171" s="41"/>
      <c r="F171" s="40"/>
      <c r="G171" s="40"/>
    </row>
    <row r="172" spans="3:7" x14ac:dyDescent="0.35">
      <c r="C172" s="10"/>
      <c r="D172" s="40"/>
      <c r="E172" s="41"/>
      <c r="F172" s="40"/>
      <c r="G172" s="40"/>
    </row>
    <row r="173" spans="3:7" x14ac:dyDescent="0.35">
      <c r="C173" s="10"/>
      <c r="D173" s="40"/>
      <c r="E173" s="41"/>
      <c r="F173" s="40"/>
      <c r="G173" s="40"/>
    </row>
    <row r="174" spans="3:7" x14ac:dyDescent="0.35">
      <c r="C174" s="10"/>
      <c r="D174" s="40"/>
      <c r="E174" s="41"/>
      <c r="F174" s="40"/>
      <c r="G174" s="40"/>
    </row>
    <row r="175" spans="3:7" x14ac:dyDescent="0.35">
      <c r="C175" s="10"/>
      <c r="D175" s="40"/>
      <c r="E175" s="41"/>
      <c r="F175" s="40"/>
      <c r="G175" s="40"/>
    </row>
    <row r="176" spans="3:7" x14ac:dyDescent="0.35">
      <c r="C176" s="10"/>
      <c r="D176" s="40"/>
      <c r="E176" s="41"/>
      <c r="F176" s="40"/>
      <c r="G176" s="40"/>
    </row>
    <row r="177" spans="3:7" x14ac:dyDescent="0.35">
      <c r="C177" s="10"/>
      <c r="D177" s="40"/>
      <c r="E177" s="41"/>
      <c r="F177" s="40"/>
      <c r="G177" s="40"/>
    </row>
    <row r="178" spans="3:7" x14ac:dyDescent="0.35">
      <c r="C178" s="10"/>
      <c r="D178" s="40"/>
      <c r="E178" s="41"/>
      <c r="F178" s="40"/>
      <c r="G178" s="40"/>
    </row>
    <row r="179" spans="3:7" x14ac:dyDescent="0.35">
      <c r="C179" s="10"/>
      <c r="D179" s="40"/>
      <c r="E179" s="41"/>
      <c r="F179" s="40"/>
      <c r="G179" s="40"/>
    </row>
    <row r="180" spans="3:7" x14ac:dyDescent="0.35">
      <c r="C180" s="10"/>
      <c r="D180" s="40"/>
      <c r="E180" s="41"/>
      <c r="F180" s="40"/>
      <c r="G180" s="40"/>
    </row>
    <row r="181" spans="3:7" x14ac:dyDescent="0.35">
      <c r="C181" s="10"/>
      <c r="D181" s="40"/>
      <c r="E181" s="41"/>
      <c r="F181" s="40"/>
      <c r="G181" s="40"/>
    </row>
    <row r="182" spans="3:7" x14ac:dyDescent="0.35">
      <c r="C182" s="10"/>
      <c r="D182" s="40"/>
      <c r="E182" s="41"/>
      <c r="F182" s="40"/>
      <c r="G182" s="40"/>
    </row>
    <row r="183" spans="3:7" x14ac:dyDescent="0.35">
      <c r="C183" s="10"/>
      <c r="D183" s="40"/>
      <c r="E183" s="41"/>
      <c r="F183" s="40"/>
      <c r="G183" s="40"/>
    </row>
    <row r="184" spans="3:7" x14ac:dyDescent="0.35">
      <c r="C184" s="10"/>
      <c r="D184" s="40"/>
      <c r="E184" s="41"/>
      <c r="F184" s="40"/>
      <c r="G184" s="40"/>
    </row>
    <row r="185" spans="3:7" x14ac:dyDescent="0.35">
      <c r="C185" s="10"/>
      <c r="D185" s="40"/>
      <c r="E185" s="41"/>
      <c r="F185" s="40"/>
      <c r="G185" s="40"/>
    </row>
    <row r="186" spans="3:7" x14ac:dyDescent="0.35">
      <c r="C186" s="10"/>
      <c r="D186" s="40"/>
      <c r="E186" s="41"/>
      <c r="F186" s="40"/>
      <c r="G186" s="40"/>
    </row>
    <row r="187" spans="3:7" x14ac:dyDescent="0.35">
      <c r="C187" s="10"/>
      <c r="D187" s="40"/>
      <c r="E187" s="41"/>
      <c r="F187" s="40"/>
      <c r="G187" s="40"/>
    </row>
    <row r="188" spans="3:7" x14ac:dyDescent="0.35">
      <c r="C188" s="10"/>
      <c r="D188" s="40"/>
      <c r="E188" s="41"/>
      <c r="F188" s="40"/>
      <c r="G188" s="40"/>
    </row>
    <row r="189" spans="3:7" x14ac:dyDescent="0.35">
      <c r="C189" s="10"/>
      <c r="D189" s="40"/>
      <c r="E189" s="41"/>
      <c r="F189" s="40"/>
      <c r="G189" s="40"/>
    </row>
    <row r="190" spans="3:7" x14ac:dyDescent="0.35">
      <c r="C190" s="10"/>
      <c r="D190" s="40"/>
      <c r="E190" s="41"/>
      <c r="F190" s="40"/>
      <c r="G190" s="40"/>
    </row>
    <row r="191" spans="3:7" x14ac:dyDescent="0.35">
      <c r="C191" s="10"/>
      <c r="D191" s="40"/>
      <c r="E191" s="41"/>
      <c r="F191" s="40"/>
      <c r="G191" s="40"/>
    </row>
    <row r="192" spans="3:7" x14ac:dyDescent="0.35">
      <c r="C192" s="10"/>
      <c r="D192" s="40"/>
      <c r="E192" s="41"/>
      <c r="F192" s="40"/>
      <c r="G192" s="40"/>
    </row>
    <row r="193" spans="3:7" x14ac:dyDescent="0.35">
      <c r="C193" s="10"/>
      <c r="D193" s="40"/>
      <c r="E193" s="41"/>
      <c r="F193" s="40"/>
      <c r="G193" s="40"/>
    </row>
    <row r="194" spans="3:7" x14ac:dyDescent="0.35">
      <c r="C194" s="10"/>
      <c r="D194" s="40"/>
      <c r="E194" s="41"/>
      <c r="F194" s="40"/>
      <c r="G194" s="40"/>
    </row>
    <row r="195" spans="3:7" x14ac:dyDescent="0.35">
      <c r="C195" s="10"/>
      <c r="D195" s="40"/>
      <c r="E195" s="41"/>
      <c r="F195" s="40"/>
      <c r="G195" s="40"/>
    </row>
    <row r="196" spans="3:7" x14ac:dyDescent="0.35">
      <c r="C196" s="10"/>
      <c r="D196" s="40"/>
      <c r="E196" s="41"/>
      <c r="F196" s="40"/>
      <c r="G196" s="40"/>
    </row>
    <row r="197" spans="3:7" x14ac:dyDescent="0.35">
      <c r="C197" s="10"/>
      <c r="D197" s="40"/>
      <c r="E197" s="41"/>
      <c r="F197" s="40"/>
      <c r="G197" s="40"/>
    </row>
    <row r="198" spans="3:7" x14ac:dyDescent="0.35">
      <c r="D198" s="40"/>
      <c r="E198" s="41"/>
      <c r="F198" s="40"/>
      <c r="G198" s="40"/>
    </row>
    <row r="199" spans="3:7" x14ac:dyDescent="0.35">
      <c r="D199" s="40"/>
      <c r="E199" s="41"/>
      <c r="F199" s="40"/>
      <c r="G199" s="40"/>
    </row>
    <row r="200" spans="3:7" x14ac:dyDescent="0.35">
      <c r="D200" s="40"/>
      <c r="E200" s="41"/>
      <c r="F200" s="40"/>
      <c r="G200" s="40"/>
    </row>
  </sheetData>
  <mergeCells count="1">
    <mergeCell ref="D2:G3"/>
  </mergeCells>
  <pageMargins left="0.7" right="0.7" top="0.75" bottom="0.75" header="0.3" footer="0.3"/>
  <pageSetup paperSize="9" scale="1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D88968E-B56B-4EFB-BA53-F5FCAC1AF571}">
          <x14:formula1>
            <xm:f>Control!$G$2:$G$13</xm:f>
          </x14:formula1>
          <xm:sqref>I2</xm:sqref>
        </x14:dataValidation>
        <x14:dataValidation type="list" allowBlank="1" showInputMessage="1" showErrorMessage="1" xr:uid="{0D1023B2-792C-454C-949D-E209BFE92316}">
          <x14:formula1>
            <xm:f>Control!$J$2:$J$13</xm:f>
          </x14:formula1>
          <xm:sqref>I1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2D932-7029-4DAF-8C93-0E0D7C7A9E01}">
  <sheetPr codeName="shMaster"/>
  <dimension ref="A1:AG83"/>
  <sheetViews>
    <sheetView zoomScale="85" zoomScaleNormal="85" workbookViewId="0">
      <selection activeCell="A2" sqref="A2"/>
    </sheetView>
  </sheetViews>
  <sheetFormatPr defaultRowHeight="14.5" x14ac:dyDescent="0.35"/>
  <cols>
    <col min="1" max="1" width="4.90625" customWidth="1"/>
    <col min="2" max="2" width="11.6328125" customWidth="1"/>
    <col min="3" max="3" width="13.453125" customWidth="1"/>
    <col min="4" max="5" width="10.7265625" customWidth="1"/>
    <col min="6" max="6" width="7" customWidth="1"/>
    <col min="7" max="7" width="9.1796875" bestFit="1" customWidth="1"/>
    <col min="8" max="9" width="7.453125" customWidth="1"/>
    <col min="16" max="18" width="9.1796875" customWidth="1"/>
    <col min="19" max="20" width="12.81640625" customWidth="1"/>
    <col min="21" max="24" width="9.1796875" customWidth="1"/>
  </cols>
  <sheetData>
    <row r="1" spans="1:33" ht="17.5" customHeight="1" x14ac:dyDescent="0.35">
      <c r="A1" s="44" t="s">
        <v>46</v>
      </c>
      <c r="B1" s="44"/>
      <c r="C1" s="44"/>
      <c r="D1" s="44"/>
      <c r="E1" s="44"/>
      <c r="F1" s="44"/>
      <c r="G1" s="44"/>
      <c r="H1" s="44"/>
      <c r="I1" s="33"/>
      <c r="L1" s="45" t="s">
        <v>12</v>
      </c>
      <c r="M1" s="45"/>
      <c r="P1" s="35" t="s">
        <v>5</v>
      </c>
      <c r="Q1" s="35" t="s">
        <v>0</v>
      </c>
      <c r="R1" s="35" t="s">
        <v>2</v>
      </c>
      <c r="S1" s="35" t="s">
        <v>3</v>
      </c>
      <c r="T1" s="35" t="s">
        <v>4</v>
      </c>
      <c r="U1" s="35" t="s">
        <v>7</v>
      </c>
      <c r="V1" s="35" t="s">
        <v>8</v>
      </c>
      <c r="W1" s="35" t="s">
        <v>9</v>
      </c>
      <c r="X1" s="35" t="s">
        <v>35</v>
      </c>
    </row>
    <row r="2" spans="1:33" s="7" customFormat="1" x14ac:dyDescent="0.35">
      <c r="A2" s="26" t="s">
        <v>5</v>
      </c>
      <c r="B2" s="26" t="s">
        <v>0</v>
      </c>
      <c r="C2" s="26" t="s">
        <v>2</v>
      </c>
      <c r="D2" s="26" t="s">
        <v>3</v>
      </c>
      <c r="E2" s="26" t="s">
        <v>4</v>
      </c>
      <c r="F2" s="26" t="s">
        <v>7</v>
      </c>
      <c r="G2" s="26" t="s">
        <v>8</v>
      </c>
      <c r="H2" s="26" t="s">
        <v>9</v>
      </c>
      <c r="I2" s="26" t="s">
        <v>35</v>
      </c>
      <c r="L2" s="8" t="s">
        <v>9</v>
      </c>
      <c r="M2" s="8" t="s">
        <v>35</v>
      </c>
      <c r="N2"/>
    </row>
    <row r="3" spans="1:33" x14ac:dyDescent="0.35">
      <c r="A3">
        <v>1</v>
      </c>
      <c r="B3" t="s">
        <v>40</v>
      </c>
      <c r="C3" s="18" t="s">
        <v>42</v>
      </c>
      <c r="D3" t="s">
        <v>28</v>
      </c>
      <c r="E3" t="s">
        <v>29</v>
      </c>
      <c r="F3" s="27">
        <v>2</v>
      </c>
      <c r="G3" s="28">
        <v>90</v>
      </c>
      <c r="H3">
        <v>1</v>
      </c>
      <c r="I3">
        <v>2022</v>
      </c>
      <c r="L3">
        <f>VLOOKUP(Invoice!I2,Control!$G$2:$H$13,2,FALSE)</f>
        <v>1</v>
      </c>
      <c r="M3" s="34">
        <f>Invoice!$I$1</f>
        <v>2022</v>
      </c>
      <c r="R3" s="18"/>
      <c r="U3" s="27"/>
      <c r="V3" s="28"/>
      <c r="AC3" s="18"/>
      <c r="AF3" s="27"/>
      <c r="AG3" s="28"/>
    </row>
    <row r="4" spans="1:33" x14ac:dyDescent="0.35">
      <c r="A4">
        <v>2</v>
      </c>
      <c r="B4" t="s">
        <v>41</v>
      </c>
      <c r="C4" s="18" t="s">
        <v>42</v>
      </c>
      <c r="D4" t="s">
        <v>31</v>
      </c>
      <c r="E4" t="s">
        <v>32</v>
      </c>
      <c r="F4" s="27">
        <v>2</v>
      </c>
      <c r="G4" s="28">
        <v>60</v>
      </c>
      <c r="H4">
        <v>1</v>
      </c>
      <c r="I4">
        <v>2022</v>
      </c>
      <c r="R4" s="18"/>
      <c r="U4" s="27"/>
      <c r="V4" s="28"/>
      <c r="AC4" s="18"/>
      <c r="AF4" s="27"/>
      <c r="AG4" s="28"/>
    </row>
    <row r="5" spans="1:33" x14ac:dyDescent="0.35">
      <c r="A5">
        <v>3</v>
      </c>
      <c r="B5" t="s">
        <v>43</v>
      </c>
      <c r="C5" s="18" t="s">
        <v>42</v>
      </c>
      <c r="D5" t="s">
        <v>44</v>
      </c>
      <c r="E5" t="s">
        <v>45</v>
      </c>
      <c r="F5" s="27">
        <v>2</v>
      </c>
      <c r="G5" s="28">
        <v>120</v>
      </c>
      <c r="H5">
        <v>1</v>
      </c>
      <c r="I5">
        <v>2022</v>
      </c>
      <c r="R5" s="18"/>
      <c r="U5" s="27"/>
      <c r="V5" s="28"/>
      <c r="AC5" s="18"/>
      <c r="AF5" s="27"/>
      <c r="AG5" s="28"/>
    </row>
    <row r="6" spans="1:33" x14ac:dyDescent="0.35">
      <c r="C6" s="18"/>
      <c r="F6" s="27"/>
      <c r="G6" s="28"/>
      <c r="R6" s="18"/>
      <c r="U6" s="27"/>
      <c r="V6" s="28"/>
      <c r="AC6" s="18"/>
      <c r="AF6" s="27"/>
      <c r="AG6" s="28"/>
    </row>
    <row r="7" spans="1:33" x14ac:dyDescent="0.35">
      <c r="C7" s="18"/>
      <c r="F7" s="27"/>
      <c r="G7" s="28"/>
      <c r="R7" s="18"/>
      <c r="U7" s="27"/>
      <c r="V7" s="28"/>
      <c r="AC7" s="18"/>
      <c r="AF7" s="27"/>
      <c r="AG7" s="28"/>
    </row>
    <row r="8" spans="1:33" x14ac:dyDescent="0.35">
      <c r="C8" s="18"/>
      <c r="F8" s="27"/>
      <c r="G8" s="28"/>
      <c r="R8" s="18"/>
      <c r="U8" s="27"/>
      <c r="V8" s="28"/>
      <c r="AC8" s="18"/>
      <c r="AF8" s="27"/>
      <c r="AG8" s="28"/>
    </row>
    <row r="9" spans="1:33" x14ac:dyDescent="0.35">
      <c r="C9" s="18"/>
      <c r="F9" s="27"/>
      <c r="G9" s="28"/>
      <c r="R9" s="18"/>
      <c r="U9" s="27"/>
      <c r="V9" s="28"/>
      <c r="AC9" s="18"/>
      <c r="AF9" s="27"/>
      <c r="AG9" s="28"/>
    </row>
    <row r="10" spans="1:33" x14ac:dyDescent="0.35">
      <c r="C10" s="18"/>
      <c r="F10" s="27"/>
      <c r="G10" s="28"/>
    </row>
    <row r="11" spans="1:33" x14ac:dyDescent="0.35">
      <c r="C11" s="18"/>
      <c r="F11" s="27"/>
      <c r="G11" s="28"/>
    </row>
    <row r="12" spans="1:33" x14ac:dyDescent="0.35">
      <c r="C12" s="18"/>
      <c r="F12" s="27"/>
      <c r="G12" s="28"/>
    </row>
    <row r="13" spans="1:33" x14ac:dyDescent="0.35">
      <c r="C13" s="18"/>
      <c r="F13" s="27"/>
      <c r="G13" s="28"/>
    </row>
    <row r="14" spans="1:33" x14ac:dyDescent="0.35">
      <c r="C14" s="18"/>
      <c r="F14" s="27"/>
      <c r="G14" s="28"/>
    </row>
    <row r="15" spans="1:33" x14ac:dyDescent="0.35">
      <c r="C15" s="18"/>
      <c r="F15" s="27"/>
      <c r="G15" s="28"/>
    </row>
    <row r="16" spans="1:33" x14ac:dyDescent="0.35">
      <c r="C16" s="18"/>
      <c r="F16" s="27"/>
      <c r="G16" s="28"/>
    </row>
    <row r="17" spans="3:7" x14ac:dyDescent="0.35">
      <c r="C17" s="18"/>
      <c r="F17" s="27"/>
      <c r="G17" s="28"/>
    </row>
    <row r="18" spans="3:7" x14ac:dyDescent="0.35">
      <c r="C18" s="18"/>
      <c r="F18" s="27"/>
      <c r="G18" s="28"/>
    </row>
    <row r="19" spans="3:7" x14ac:dyDescent="0.35">
      <c r="C19" s="18"/>
      <c r="F19" s="27"/>
      <c r="G19" s="28"/>
    </row>
    <row r="20" spans="3:7" x14ac:dyDescent="0.35">
      <c r="C20" s="18"/>
      <c r="F20" s="27"/>
      <c r="G20" s="28"/>
    </row>
    <row r="21" spans="3:7" x14ac:dyDescent="0.35">
      <c r="C21" s="18"/>
      <c r="F21" s="27"/>
      <c r="G21" s="28"/>
    </row>
    <row r="22" spans="3:7" x14ac:dyDescent="0.35">
      <c r="C22" s="18"/>
      <c r="F22" s="27"/>
      <c r="G22" s="28"/>
    </row>
    <row r="23" spans="3:7" x14ac:dyDescent="0.35">
      <c r="C23" s="18"/>
      <c r="F23" s="27"/>
      <c r="G23" s="28"/>
    </row>
    <row r="24" spans="3:7" x14ac:dyDescent="0.35">
      <c r="C24" s="18"/>
      <c r="F24" s="27"/>
      <c r="G24" s="28"/>
    </row>
    <row r="25" spans="3:7" x14ac:dyDescent="0.35">
      <c r="C25" s="18"/>
      <c r="F25" s="27"/>
      <c r="G25" s="28"/>
    </row>
    <row r="26" spans="3:7" x14ac:dyDescent="0.35">
      <c r="C26" s="18"/>
      <c r="F26" s="27"/>
      <c r="G26" s="28"/>
    </row>
    <row r="27" spans="3:7" x14ac:dyDescent="0.35">
      <c r="C27" s="18"/>
      <c r="F27" s="27"/>
      <c r="G27" s="28"/>
    </row>
    <row r="28" spans="3:7" x14ac:dyDescent="0.35">
      <c r="C28" s="18"/>
      <c r="F28" s="27"/>
      <c r="G28" s="28"/>
    </row>
    <row r="29" spans="3:7" x14ac:dyDescent="0.35">
      <c r="C29" s="18"/>
      <c r="F29" s="27"/>
      <c r="G29" s="28"/>
    </row>
    <row r="30" spans="3:7" x14ac:dyDescent="0.35">
      <c r="C30" s="18"/>
      <c r="F30" s="27"/>
      <c r="G30" s="28"/>
    </row>
    <row r="31" spans="3:7" x14ac:dyDescent="0.35">
      <c r="C31" s="18"/>
      <c r="F31" s="27"/>
      <c r="G31" s="28"/>
    </row>
    <row r="32" spans="3:7" x14ac:dyDescent="0.35">
      <c r="C32" s="18"/>
      <c r="F32" s="27"/>
      <c r="G32" s="28"/>
    </row>
    <row r="33" spans="3:7" x14ac:dyDescent="0.35">
      <c r="C33" s="18"/>
      <c r="F33" s="27"/>
      <c r="G33" s="28"/>
    </row>
    <row r="34" spans="3:7" x14ac:dyDescent="0.35">
      <c r="C34" s="18"/>
      <c r="F34" s="27"/>
      <c r="G34" s="28"/>
    </row>
    <row r="35" spans="3:7" x14ac:dyDescent="0.35">
      <c r="C35" s="18"/>
      <c r="F35" s="27"/>
      <c r="G35" s="28"/>
    </row>
    <row r="36" spans="3:7" x14ac:dyDescent="0.35">
      <c r="C36" s="18"/>
      <c r="F36" s="27"/>
      <c r="G36" s="28"/>
    </row>
    <row r="37" spans="3:7" x14ac:dyDescent="0.35">
      <c r="C37" s="18"/>
      <c r="F37" s="27"/>
      <c r="G37" s="28"/>
    </row>
    <row r="38" spans="3:7" x14ac:dyDescent="0.35">
      <c r="C38" s="18"/>
      <c r="F38" s="27"/>
      <c r="G38" s="28"/>
    </row>
    <row r="39" spans="3:7" x14ac:dyDescent="0.35">
      <c r="C39" s="18"/>
      <c r="F39" s="27"/>
      <c r="G39" s="28"/>
    </row>
    <row r="40" spans="3:7" x14ac:dyDescent="0.35">
      <c r="C40" s="18"/>
      <c r="F40" s="27"/>
      <c r="G40" s="28"/>
    </row>
    <row r="41" spans="3:7" x14ac:dyDescent="0.35">
      <c r="C41" s="18"/>
      <c r="F41" s="27"/>
      <c r="G41" s="28"/>
    </row>
    <row r="42" spans="3:7" x14ac:dyDescent="0.35">
      <c r="C42" s="18"/>
      <c r="F42" s="27"/>
      <c r="G42" s="28"/>
    </row>
    <row r="43" spans="3:7" x14ac:dyDescent="0.35">
      <c r="C43" s="18"/>
      <c r="F43" s="27"/>
      <c r="G43" s="28"/>
    </row>
    <row r="44" spans="3:7" x14ac:dyDescent="0.35">
      <c r="C44" s="18"/>
      <c r="F44" s="27"/>
      <c r="G44" s="28"/>
    </row>
    <row r="45" spans="3:7" x14ac:dyDescent="0.35">
      <c r="C45" s="18"/>
      <c r="F45" s="27"/>
      <c r="G45" s="28"/>
    </row>
    <row r="46" spans="3:7" x14ac:dyDescent="0.35">
      <c r="C46" s="18"/>
      <c r="F46" s="27"/>
      <c r="G46" s="28"/>
    </row>
    <row r="47" spans="3:7" x14ac:dyDescent="0.35">
      <c r="C47" s="18"/>
      <c r="F47" s="27"/>
      <c r="G47" s="28"/>
    </row>
    <row r="48" spans="3:7" x14ac:dyDescent="0.35">
      <c r="C48" s="18"/>
      <c r="F48" s="27"/>
      <c r="G48" s="28"/>
    </row>
    <row r="49" spans="3:7" x14ac:dyDescent="0.35">
      <c r="C49" s="18"/>
      <c r="F49" s="27"/>
      <c r="G49" s="28"/>
    </row>
    <row r="50" spans="3:7" x14ac:dyDescent="0.35">
      <c r="C50" s="18"/>
      <c r="F50" s="27"/>
      <c r="G50" s="28"/>
    </row>
    <row r="51" spans="3:7" x14ac:dyDescent="0.35">
      <c r="C51" s="18"/>
      <c r="F51" s="27"/>
      <c r="G51" s="28"/>
    </row>
    <row r="52" spans="3:7" x14ac:dyDescent="0.35">
      <c r="C52" s="18"/>
      <c r="F52" s="27"/>
      <c r="G52" s="28"/>
    </row>
    <row r="53" spans="3:7" x14ac:dyDescent="0.35">
      <c r="C53" s="18"/>
      <c r="F53" s="27"/>
      <c r="G53" s="28"/>
    </row>
    <row r="54" spans="3:7" x14ac:dyDescent="0.35">
      <c r="C54" s="18"/>
      <c r="F54" s="27"/>
      <c r="G54" s="28"/>
    </row>
    <row r="55" spans="3:7" x14ac:dyDescent="0.35">
      <c r="C55" s="18"/>
      <c r="F55" s="27"/>
      <c r="G55" s="28"/>
    </row>
    <row r="56" spans="3:7" x14ac:dyDescent="0.35">
      <c r="C56" s="18"/>
      <c r="F56" s="27"/>
      <c r="G56" s="28"/>
    </row>
    <row r="57" spans="3:7" x14ac:dyDescent="0.35">
      <c r="C57" s="18"/>
      <c r="F57" s="27"/>
      <c r="G57" s="28"/>
    </row>
    <row r="58" spans="3:7" x14ac:dyDescent="0.35">
      <c r="C58" s="18"/>
      <c r="F58" s="27"/>
      <c r="G58" s="28"/>
    </row>
    <row r="59" spans="3:7" x14ac:dyDescent="0.35">
      <c r="C59" s="18"/>
      <c r="F59" s="27"/>
      <c r="G59" s="28"/>
    </row>
    <row r="60" spans="3:7" x14ac:dyDescent="0.35">
      <c r="C60" s="18"/>
      <c r="F60" s="27"/>
      <c r="G60" s="28"/>
    </row>
    <row r="61" spans="3:7" x14ac:dyDescent="0.35">
      <c r="C61" s="18"/>
      <c r="F61" s="27"/>
      <c r="G61" s="28"/>
    </row>
    <row r="62" spans="3:7" x14ac:dyDescent="0.35">
      <c r="C62" s="18"/>
      <c r="F62" s="27"/>
      <c r="G62" s="28"/>
    </row>
    <row r="63" spans="3:7" x14ac:dyDescent="0.35">
      <c r="C63" s="18"/>
      <c r="F63" s="27"/>
      <c r="G63" s="28"/>
    </row>
    <row r="64" spans="3:7" x14ac:dyDescent="0.35">
      <c r="C64" s="18"/>
      <c r="F64" s="27"/>
      <c r="G64" s="28"/>
    </row>
    <row r="65" spans="3:7" x14ac:dyDescent="0.35">
      <c r="C65" s="18"/>
      <c r="F65" s="27"/>
      <c r="G65" s="28"/>
    </row>
    <row r="66" spans="3:7" x14ac:dyDescent="0.35">
      <c r="C66" s="18"/>
      <c r="F66" s="27"/>
      <c r="G66" s="28"/>
    </row>
    <row r="67" spans="3:7" x14ac:dyDescent="0.35">
      <c r="C67" s="18"/>
      <c r="F67" s="27"/>
      <c r="G67" s="28"/>
    </row>
    <row r="68" spans="3:7" x14ac:dyDescent="0.35">
      <c r="C68" s="18"/>
      <c r="F68" s="27"/>
      <c r="G68" s="28"/>
    </row>
    <row r="69" spans="3:7" x14ac:dyDescent="0.35">
      <c r="C69" s="18"/>
      <c r="F69" s="27"/>
      <c r="G69" s="28"/>
    </row>
    <row r="70" spans="3:7" x14ac:dyDescent="0.35">
      <c r="C70" s="18"/>
      <c r="F70" s="27"/>
      <c r="G70" s="28"/>
    </row>
    <row r="71" spans="3:7" x14ac:dyDescent="0.35">
      <c r="C71" s="18"/>
      <c r="F71" s="27"/>
      <c r="G71" s="28"/>
    </row>
    <row r="72" spans="3:7" x14ac:dyDescent="0.35">
      <c r="C72" s="18"/>
      <c r="F72" s="27"/>
      <c r="G72" s="28"/>
    </row>
    <row r="73" spans="3:7" x14ac:dyDescent="0.35">
      <c r="C73" s="18"/>
      <c r="F73" s="27"/>
      <c r="G73" s="28"/>
    </row>
    <row r="74" spans="3:7" x14ac:dyDescent="0.35">
      <c r="C74" s="18"/>
      <c r="F74" s="27"/>
      <c r="G74" s="28"/>
    </row>
    <row r="75" spans="3:7" x14ac:dyDescent="0.35">
      <c r="C75" s="18"/>
      <c r="F75" s="27"/>
      <c r="G75" s="28"/>
    </row>
    <row r="76" spans="3:7" x14ac:dyDescent="0.35">
      <c r="C76" s="18"/>
      <c r="F76" s="27"/>
      <c r="G76" s="28"/>
    </row>
    <row r="77" spans="3:7" x14ac:dyDescent="0.35">
      <c r="C77" s="18"/>
      <c r="F77" s="27"/>
      <c r="G77" s="28"/>
    </row>
    <row r="78" spans="3:7" x14ac:dyDescent="0.35">
      <c r="C78" s="18"/>
      <c r="F78" s="27"/>
      <c r="G78" s="28"/>
    </row>
    <row r="79" spans="3:7" x14ac:dyDescent="0.35">
      <c r="C79" s="18"/>
      <c r="F79" s="27"/>
      <c r="G79" s="28"/>
    </row>
    <row r="80" spans="3:7" x14ac:dyDescent="0.35">
      <c r="C80" s="18"/>
      <c r="F80" s="27"/>
      <c r="G80" s="28"/>
    </row>
    <row r="81" spans="3:7" x14ac:dyDescent="0.35">
      <c r="C81" s="18"/>
      <c r="F81" s="27"/>
      <c r="G81" s="28"/>
    </row>
    <row r="82" spans="3:7" x14ac:dyDescent="0.35">
      <c r="C82" s="18"/>
      <c r="F82" s="27"/>
      <c r="G82" s="28"/>
    </row>
    <row r="83" spans="3:7" x14ac:dyDescent="0.35">
      <c r="C83" s="18"/>
      <c r="F83" s="27"/>
      <c r="G83" s="28"/>
    </row>
  </sheetData>
  <mergeCells count="2">
    <mergeCell ref="A1:H1"/>
    <mergeCell ref="L1:M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75A32-FD5C-4029-A6ED-936050794E81}">
  <sheetPr codeName="shCon"/>
  <dimension ref="A1:J13"/>
  <sheetViews>
    <sheetView workbookViewId="0">
      <selection activeCell="L6" sqref="L6"/>
    </sheetView>
  </sheetViews>
  <sheetFormatPr defaultRowHeight="14.5" x14ac:dyDescent="0.35"/>
  <cols>
    <col min="1" max="1" width="12.54296875" customWidth="1"/>
    <col min="4" max="4" width="19.26953125" bestFit="1" customWidth="1"/>
    <col min="7" max="7" width="9.90625" bestFit="1" customWidth="1"/>
  </cols>
  <sheetData>
    <row r="1" spans="1:10" x14ac:dyDescent="0.35">
      <c r="A1" s="46" t="s">
        <v>37</v>
      </c>
      <c r="B1" s="46"/>
      <c r="C1" s="2"/>
      <c r="D1" s="46" t="s">
        <v>38</v>
      </c>
      <c r="E1" s="46"/>
      <c r="F1" s="2"/>
      <c r="G1" s="46" t="s">
        <v>39</v>
      </c>
      <c r="H1" s="46"/>
      <c r="I1" s="2"/>
      <c r="J1" s="36" t="s">
        <v>35</v>
      </c>
    </row>
    <row r="2" spans="1:10" x14ac:dyDescent="0.35">
      <c r="A2" t="s">
        <v>0</v>
      </c>
      <c r="B2" t="s">
        <v>1</v>
      </c>
      <c r="D2" t="s">
        <v>6</v>
      </c>
      <c r="E2">
        <f>COUNTA(Invoice!$C$9:$C$9997)</f>
        <v>3</v>
      </c>
      <c r="G2" t="s">
        <v>14</v>
      </c>
      <c r="H2">
        <v>1</v>
      </c>
      <c r="J2">
        <f ca="1">YEAR(TODAY())</f>
        <v>2022</v>
      </c>
    </row>
    <row r="3" spans="1:10" x14ac:dyDescent="0.35">
      <c r="A3" t="s">
        <v>40</v>
      </c>
      <c r="B3">
        <v>45</v>
      </c>
      <c r="G3" t="s">
        <v>15</v>
      </c>
      <c r="H3">
        <v>2</v>
      </c>
      <c r="J3">
        <f ca="1">J2-1</f>
        <v>2021</v>
      </c>
    </row>
    <row r="4" spans="1:10" x14ac:dyDescent="0.35">
      <c r="A4" t="s">
        <v>41</v>
      </c>
      <c r="B4">
        <v>30</v>
      </c>
      <c r="G4" t="s">
        <v>16</v>
      </c>
      <c r="H4">
        <v>3</v>
      </c>
      <c r="J4">
        <f t="shared" ref="J4:J12" ca="1" si="0">J3-1</f>
        <v>2020</v>
      </c>
    </row>
    <row r="5" spans="1:10" x14ac:dyDescent="0.35">
      <c r="A5" t="s">
        <v>43</v>
      </c>
      <c r="B5">
        <v>60</v>
      </c>
      <c r="G5" t="s">
        <v>13</v>
      </c>
      <c r="H5">
        <v>4</v>
      </c>
      <c r="J5">
        <f t="shared" ca="1" si="0"/>
        <v>2019</v>
      </c>
    </row>
    <row r="6" spans="1:10" x14ac:dyDescent="0.35">
      <c r="D6" t="s">
        <v>27</v>
      </c>
      <c r="E6">
        <f>COUNTA(Database!$A$3:$A$14987)</f>
        <v>3</v>
      </c>
      <c r="G6" t="s">
        <v>17</v>
      </c>
      <c r="H6">
        <v>5</v>
      </c>
      <c r="J6">
        <f t="shared" ca="1" si="0"/>
        <v>2018</v>
      </c>
    </row>
    <row r="7" spans="1:10" x14ac:dyDescent="0.35">
      <c r="D7" t="s">
        <v>33</v>
      </c>
      <c r="E7" cm="1">
        <f t="array" ref="E7">IFERROR(MATCH(1,(Invoice!$B$5=Database!$H$3:$H$300)*(Invoice!$B$4=Database!$I$3:$I$300),0)+2,"")</f>
        <v>3</v>
      </c>
      <c r="G7" t="s">
        <v>18</v>
      </c>
      <c r="H7">
        <v>6</v>
      </c>
      <c r="J7">
        <f t="shared" ca="1" si="0"/>
        <v>2017</v>
      </c>
    </row>
    <row r="8" spans="1:10" x14ac:dyDescent="0.35">
      <c r="D8" t="s">
        <v>34</v>
      </c>
      <c r="E8" cm="1">
        <f t="array" ref="E8">IFERROR(MATCH(1,(Invoice!$B$5=Database!$H$3:$H$300)*(Invoice!$B$4=Database!$I$3:$I$300),0)+COUNTIFS(Database!$H$3:$H$300,Invoice!$B$5,Database!$I$3:$I$300,Invoice!$B$4)+1,"")</f>
        <v>5</v>
      </c>
      <c r="G8" t="s">
        <v>19</v>
      </c>
      <c r="H8">
        <v>7</v>
      </c>
      <c r="J8">
        <f t="shared" ca="1" si="0"/>
        <v>2016</v>
      </c>
    </row>
    <row r="9" spans="1:10" x14ac:dyDescent="0.35">
      <c r="G9" t="s">
        <v>20</v>
      </c>
      <c r="H9">
        <v>8</v>
      </c>
      <c r="J9">
        <f t="shared" ca="1" si="0"/>
        <v>2015</v>
      </c>
    </row>
    <row r="10" spans="1:10" x14ac:dyDescent="0.35">
      <c r="G10" t="s">
        <v>21</v>
      </c>
      <c r="H10">
        <v>9</v>
      </c>
      <c r="J10">
        <f t="shared" ca="1" si="0"/>
        <v>2014</v>
      </c>
    </row>
    <row r="11" spans="1:10" x14ac:dyDescent="0.35">
      <c r="G11" t="s">
        <v>22</v>
      </c>
      <c r="H11">
        <v>10</v>
      </c>
      <c r="J11">
        <f t="shared" ca="1" si="0"/>
        <v>2013</v>
      </c>
    </row>
    <row r="12" spans="1:10" x14ac:dyDescent="0.35">
      <c r="G12" t="s">
        <v>23</v>
      </c>
      <c r="H12">
        <v>11</v>
      </c>
      <c r="J12">
        <f t="shared" ca="1" si="0"/>
        <v>2012</v>
      </c>
    </row>
    <row r="13" spans="1:10" x14ac:dyDescent="0.35">
      <c r="G13" t="s">
        <v>24</v>
      </c>
      <c r="H13">
        <v>12</v>
      </c>
      <c r="J13">
        <f ca="1">J12-1</f>
        <v>2011</v>
      </c>
    </row>
  </sheetData>
  <mergeCells count="3">
    <mergeCell ref="A1:B1"/>
    <mergeCell ref="D1:E1"/>
    <mergeCell ref="G1:H1"/>
  </mergeCells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Invoice</vt:lpstr>
      <vt:lpstr>Database</vt:lpstr>
      <vt:lpstr>Control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cai</cp:lastModifiedBy>
  <cp:lastPrinted>2021-05-30T14:22:29Z</cp:lastPrinted>
  <dcterms:created xsi:type="dcterms:W3CDTF">2021-04-30T02:41:06Z</dcterms:created>
  <dcterms:modified xsi:type="dcterms:W3CDTF">2022-01-30T12:07:16Z</dcterms:modified>
</cp:coreProperties>
</file>