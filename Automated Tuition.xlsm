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be46268acc3714/Desktop/"/>
    </mc:Choice>
  </mc:AlternateContent>
  <xr:revisionPtr revIDLastSave="68" documentId="13_ncr:1_{6EBFD401-C71C-4303-B48D-013E10C5B8A1}" xr6:coauthVersionLast="47" xr6:coauthVersionMax="47" xr10:uidLastSave="{8DD06C40-AC7E-4966-94F2-3C488ACD6291}"/>
  <bookViews>
    <workbookView xWindow="4800" yWindow="2840" windowWidth="14400" windowHeight="7360" tabRatio="732" activeTab="1" xr2:uid="{4439D654-53B9-4B7F-8D29-A572E8BC659D}"/>
  </bookViews>
  <sheets>
    <sheet name="Invoice" sheetId="1" r:id="rId1"/>
    <sheet name="Database" sheetId="3" r:id="rId2"/>
    <sheet name="Control" sheetId="2" r:id="rId3"/>
  </sheets>
  <definedNames>
    <definedName name="Dyn_Master">OFFSET(Database!$H$2,1,0,Control!$E$5,1)</definedName>
    <definedName name="Dyn_Ref">OFFSET(Invoice!$C$8,0,0,Control!$E$1,1)</definedName>
    <definedName name="_xlnm.Print_Area" localSheetId="0">Invoice!$D$1:$I$13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3" l="1"/>
  <c r="I2" i="1"/>
  <c r="E1" i="2"/>
  <c r="B4" i="1"/>
  <c r="E5" i="2"/>
  <c r="E6" i="2" l="1"/>
  <c r="E7" i="2"/>
  <c r="B5" i="1"/>
  <c r="I3" i="1"/>
</calcChain>
</file>

<file path=xl/sharedStrings.xml><?xml version="1.0" encoding="utf-8"?>
<sst xmlns="http://schemas.openxmlformats.org/spreadsheetml/2006/main" count="466" uniqueCount="145">
  <si>
    <t>Name</t>
  </si>
  <si>
    <t>Rate</t>
  </si>
  <si>
    <t>Yu Xiang</t>
  </si>
  <si>
    <t>Yu Han</t>
  </si>
  <si>
    <t>Date</t>
  </si>
  <si>
    <t>Start Time</t>
  </si>
  <si>
    <t>End Time</t>
  </si>
  <si>
    <t>Ref</t>
  </si>
  <si>
    <t>Last Row:</t>
  </si>
  <si>
    <t>Hours</t>
  </si>
  <si>
    <t>Pay</t>
  </si>
  <si>
    <t>Month</t>
  </si>
  <si>
    <t>Total Hours</t>
  </si>
  <si>
    <t>Total Amount</t>
  </si>
  <si>
    <t>Criteria</t>
  </si>
  <si>
    <t>April</t>
  </si>
  <si>
    <t>January</t>
  </si>
  <si>
    <t>February</t>
  </si>
  <si>
    <t>March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</si>
  <si>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</si>
  <si>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</si>
  <si>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</si>
  <si>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</si>
  <si>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</si>
  <si>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</si>
  <si>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</si>
  <si>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</si>
  <si>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Mnth Shown</t>
  </si>
  <si>
    <t>Master Row</t>
  </si>
  <si>
    <t>Master List</t>
  </si>
  <si>
    <t>Mastersheet Last Row</t>
  </si>
  <si>
    <t>01/05/2021</t>
  </si>
  <si>
    <t>02/05/2021</t>
  </si>
  <si>
    <t>08/05/2021</t>
  </si>
  <si>
    <t>09/05/2021</t>
  </si>
  <si>
    <t>15/05/2021</t>
  </si>
  <si>
    <t>16/05/2021</t>
  </si>
  <si>
    <t>22/05/2021</t>
  </si>
  <si>
    <t>10:30</t>
  </si>
  <si>
    <t>13:00</t>
  </si>
  <si>
    <t>18:30</t>
  </si>
  <si>
    <t>10:00</t>
  </si>
  <si>
    <t>12:00</t>
  </si>
  <si>
    <t>19:00</t>
  </si>
  <si>
    <t>22:00</t>
  </si>
  <si>
    <t>17:30</t>
  </si>
  <si>
    <t>20:30</t>
  </si>
  <si>
    <t>16:00</t>
  </si>
  <si>
    <t>17:00</t>
  </si>
  <si>
    <t>Tuition Time Form</t>
  </si>
  <si>
    <t>11/04/2021</t>
  </si>
  <si>
    <t>18:00</t>
  </si>
  <si>
    <t>23:00</t>
  </si>
  <si>
    <t>01:00</t>
  </si>
  <si>
    <t>12/04/2021</t>
  </si>
  <si>
    <t>00:00</t>
  </si>
  <si>
    <t>15/04/2021</t>
  </si>
  <si>
    <t>21:00</t>
  </si>
  <si>
    <t>17/04/2021</t>
  </si>
  <si>
    <t>19:30</t>
  </si>
  <si>
    <t>23:30</t>
  </si>
  <si>
    <t>18/04/2021</t>
  </si>
  <si>
    <t>19/04/2021</t>
  </si>
  <si>
    <t>21/04/2021</t>
  </si>
  <si>
    <t>22/04/2021</t>
  </si>
  <si>
    <t>20:00</t>
  </si>
  <si>
    <t>26/04/2021</t>
  </si>
  <si>
    <t>Master Filter StartRow</t>
  </si>
  <si>
    <t>Master Filter LastRow</t>
  </si>
  <si>
    <t>23/05/2021</t>
  </si>
  <si>
    <t>29/05/2021</t>
  </si>
  <si>
    <t>15:00</t>
  </si>
  <si>
    <t>30/05/2021</t>
  </si>
  <si>
    <t>05/06/2021</t>
  </si>
  <si>
    <t>12:30</t>
  </si>
  <si>
    <t>06/06/2021</t>
  </si>
  <si>
    <t>09/06/2021</t>
  </si>
  <si>
    <t>12/06/2021</t>
  </si>
  <si>
    <t>15:30</t>
  </si>
  <si>
    <t>13/06/2021</t>
  </si>
  <si>
    <t>16/06/2021</t>
  </si>
  <si>
    <t>19/06/2021</t>
  </si>
  <si>
    <t>20/06/2021</t>
  </si>
  <si>
    <t>23/06/2021</t>
  </si>
  <si>
    <t>25/06/2021</t>
  </si>
  <si>
    <t>26/06/2021</t>
  </si>
  <si>
    <t>27/06/2021</t>
  </si>
  <si>
    <t>03/07/2021</t>
  </si>
  <si>
    <t>04/07/2021</t>
  </si>
  <si>
    <t>16:30</t>
  </si>
  <si>
    <t>10/07/2021</t>
  </si>
  <si>
    <t>11/07/2021</t>
  </si>
  <si>
    <t>17/07/2021</t>
  </si>
  <si>
    <t>18/07/2021</t>
  </si>
  <si>
    <t>24/07/2021</t>
  </si>
  <si>
    <t>25/07/2021</t>
  </si>
  <si>
    <t>31/07/2021</t>
  </si>
  <si>
    <t>01/08/2021</t>
  </si>
  <si>
    <t>02/08/2021</t>
  </si>
  <si>
    <t>22:30</t>
  </si>
  <si>
    <t>07/08/2021</t>
  </si>
  <si>
    <t>08/08/2021</t>
  </si>
  <si>
    <t>09/08/2021</t>
  </si>
  <si>
    <t>14/08/2021</t>
  </si>
  <si>
    <t>15/08/2021</t>
  </si>
  <si>
    <t>21/08/2021</t>
  </si>
  <si>
    <t>14:00</t>
  </si>
  <si>
    <t>22/08/2021</t>
  </si>
  <si>
    <t>28/08/2021</t>
  </si>
  <si>
    <t>29/08/2021</t>
  </si>
  <si>
    <t>05/09/2021</t>
  </si>
  <si>
    <t>11/09/2021</t>
  </si>
  <si>
    <t>12/09/2021</t>
  </si>
  <si>
    <t>18/09/2021</t>
  </si>
  <si>
    <t>19/09/2021</t>
  </si>
  <si>
    <t>25/09/2021</t>
  </si>
  <si>
    <t>26/09/2021</t>
  </si>
  <si>
    <t>02/10/2021</t>
  </si>
  <si>
    <t>05/10/2021</t>
  </si>
  <si>
    <t>10/10/2021</t>
  </si>
  <si>
    <t>16/10/2021</t>
  </si>
  <si>
    <t>17/10/2021</t>
  </si>
  <si>
    <t>23/10/2021</t>
  </si>
  <si>
    <t>24/10/2021</t>
  </si>
  <si>
    <t>31/10/2021</t>
  </si>
  <si>
    <t>07/11/2021</t>
  </si>
  <si>
    <t>13/11/2021</t>
  </si>
  <si>
    <t>14/11/2021</t>
  </si>
  <si>
    <t>21/11/2021</t>
  </si>
  <si>
    <t>22/11/2021</t>
  </si>
  <si>
    <t>04/12/2021</t>
  </si>
  <si>
    <t>05/12/2021</t>
  </si>
  <si>
    <t>10/12/2021</t>
  </si>
  <si>
    <t>11/12/2021</t>
  </si>
  <si>
    <t>14/12/2021</t>
  </si>
  <si>
    <t>18/12/2021</t>
  </si>
  <si>
    <t>19/12/2021</t>
  </si>
  <si>
    <t>23/12/2021</t>
  </si>
  <si>
    <t>01/01/2022</t>
  </si>
  <si>
    <t>02/01/2022</t>
  </si>
  <si>
    <t>08/01/2022</t>
  </si>
  <si>
    <t>21:30</t>
  </si>
  <si>
    <t>15/01/2022</t>
  </si>
  <si>
    <t>22/01/2022</t>
  </si>
  <si>
    <t>23/01/2022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</si>
</sst>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yyyy\-mm\-dd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8"/>
      <color theme="1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indexed="64"/>
      </right>
      <top/>
      <bottom style="double">
        <color theme="0" tint="-0.249977111117893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1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/>
    <xf numFmtId="0" fontId="0" fillId="0" borderId="0" xfId="0" applyFont="1"/>
    <xf numFmtId="0" fontId="1" fillId="7" borderId="0" xfId="0" applyFont="1" applyFill="1"/>
    <xf numFmtId="0" fontId="0" fillId="8" borderId="0" xfId="0" applyFont="1" applyFill="1" applyBorder="1"/>
    <xf numFmtId="0" fontId="0" fillId="0" borderId="5" xfId="0" applyBorder="1"/>
    <xf numFmtId="0" fontId="1" fillId="0" borderId="6" xfId="0" applyFont="1" applyBorder="1"/>
    <xf numFmtId="0" fontId="0" fillId="2" borderId="0" xfId="0" applyFill="1" applyBorder="1"/>
    <xf numFmtId="0" fontId="0" fillId="0" borderId="7" xfId="0" applyBorder="1"/>
    <xf numFmtId="0" fontId="0" fillId="0" borderId="3" xfId="0" applyBorder="1"/>
    <xf numFmtId="0" fontId="0" fillId="0" borderId="0" xfId="0" applyBorder="1"/>
    <xf numFmtId="0" fontId="0" fillId="0" borderId="10" xfId="0" applyBorder="1"/>
    <xf numFmtId="0" fontId="1" fillId="2" borderId="2" xfId="0" applyFont="1" applyFill="1" applyBorder="1" applyAlignment="1">
      <alignment horizontal="center"/>
    </xf>
    <xf numFmtId="44" fontId="0" fillId="0" borderId="12" xfId="1" applyFont="1" applyBorder="1"/>
    <xf numFmtId="44" fontId="0" fillId="0" borderId="10" xfId="1" applyFont="1" applyBorder="1"/>
    <xf numFmtId="44" fontId="0" fillId="0" borderId="0" xfId="1" applyFont="1"/>
    <xf numFmtId="14" fontId="0" fillId="0" borderId="0" xfId="0" applyNumberFormat="1"/>
    <xf numFmtId="164" fontId="0" fillId="0" borderId="5" xfId="0" applyNumberFormat="1" applyBorder="1"/>
    <xf numFmtId="164" fontId="0" fillId="0" borderId="0" xfId="0" applyNumberFormat="1"/>
    <xf numFmtId="165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4" fontId="0" fillId="0" borderId="10" xfId="0" applyNumberFormat="1" applyBorder="1"/>
    <xf numFmtId="0" fontId="0" fillId="0" borderId="10" xfId="0" applyNumberFormat="1" applyBorder="1" applyAlignment="1">
      <alignment horizontal="right"/>
    </xf>
    <xf numFmtId="0" fontId="1" fillId="2" borderId="11" xfId="0" applyFont="1" applyFill="1" applyBorder="1" applyAlignment="1">
      <alignment horizontal="center"/>
    </xf>
    <xf numFmtId="0" fontId="0" fillId="0" borderId="0" xfId="0" applyNumberFormat="1"/>
    <xf numFmtId="0" fontId="0" fillId="0" borderId="9" xfId="0" applyBorder="1" applyAlignment="1">
      <alignment horizontal="center" vertical="center"/>
    </xf>
    <xf numFmtId="0" fontId="1" fillId="6" borderId="1" xfId="0" applyFont="1" applyFill="1" applyBorder="1"/>
    <xf numFmtId="0" fontId="1" fillId="9" borderId="1" xfId="0" applyFont="1" applyFill="1" applyBorder="1"/>
    <xf numFmtId="165" fontId="0" fillId="0" borderId="0" xfId="0" applyNumberFormat="1"/>
    <xf numFmtId="44" fontId="0" fillId="0" borderId="0" xfId="0" applyNumberFormat="1"/>
    <xf numFmtId="0" fontId="4" fillId="0" borderId="3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4D79C7"/>
      <color rgb="FF00D6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42901</xdr:rowOff>
    </xdr:from>
    <xdr:to>
      <xdr:col>10</xdr:col>
      <xdr:colOff>579120</xdr:colOff>
      <xdr:row>1</xdr:row>
      <xdr:rowOff>134620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AF78F966-FAAD-4527-B604-868B26C53420}"/>
            </a:ext>
          </a:extLst>
        </xdr:cNvPr>
        <xdr:cNvGrpSpPr/>
      </xdr:nvGrpSpPr>
      <xdr:grpSpPr>
        <a:xfrm>
          <a:off x="6223000" y="42901"/>
          <a:ext cx="1188720" cy="282219"/>
          <a:chOff x="7686537" y="42901"/>
          <a:chExt cx="1186235" cy="284980"/>
        </a:xfrm>
      </xdr:grpSpPr>
      <xdr:sp macro="[0]!ShowUserForm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55C02D59-40D1-4DC7-953D-0B1486934628}"/>
              </a:ext>
            </a:extLst>
          </xdr:cNvPr>
          <xdr:cNvSpPr/>
        </xdr:nvSpPr>
        <xdr:spPr>
          <a:xfrm>
            <a:off x="7686537" y="50800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pic macro="[0]!ShowUserForm">
        <xdr:nvPicPr>
          <xdr:cNvPr id="4" name="Graphic 3" descr="Document with solid fill">
            <a:extLst>
              <a:ext uri="{FF2B5EF4-FFF2-40B4-BE49-F238E27FC236}">
                <a16:creationId xmlns:a16="http://schemas.microsoft.com/office/drawing/2014/main" id="{39CF4DF7-3503-47B7-9A85-6055D1B5CD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826" y="66261"/>
            <a:ext cx="248479" cy="247460"/>
          </a:xfrm>
          <a:prstGeom prst="rect">
            <a:avLst/>
          </a:prstGeom>
        </xdr:spPr>
      </xdr:pic>
      <xdr:pic macro="[0]!ShowUserForm">
        <xdr:nvPicPr>
          <xdr:cNvPr id="11" name="Graphic 10" descr="Add with solid fill">
            <a:extLst>
              <a:ext uri="{FF2B5EF4-FFF2-40B4-BE49-F238E27FC236}">
                <a16:creationId xmlns:a16="http://schemas.microsoft.com/office/drawing/2014/main" id="{A4DA4756-61DB-4F94-A8A4-77D3C8C9BF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17318" y="42901"/>
            <a:ext cx="137386" cy="136942"/>
          </a:xfrm>
          <a:prstGeom prst="rect">
            <a:avLst/>
          </a:prstGeom>
        </xdr:spPr>
      </xdr:pic>
      <xdr:sp macro="[0]!ShowUserForm" textlink="">
        <xdr:nvSpPr>
          <xdr:cNvPr id="15" name="TextBox 14">
            <a:extLst>
              <a:ext uri="{FF2B5EF4-FFF2-40B4-BE49-F238E27FC236}">
                <a16:creationId xmlns:a16="http://schemas.microsoft.com/office/drawing/2014/main" id="{D8B94ADC-D13C-44AA-AD75-1920F6D6FAC3}"/>
              </a:ext>
            </a:extLst>
          </xdr:cNvPr>
          <xdr:cNvSpPr txBox="1"/>
        </xdr:nvSpPr>
        <xdr:spPr>
          <a:xfrm>
            <a:off x="8006522" y="60739"/>
            <a:ext cx="71564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SG" sz="1100"/>
              <a:t>Add Data</a:t>
            </a:r>
          </a:p>
        </xdr:txBody>
      </xdr:sp>
    </xdr:grpSp>
    <xdr:clientData/>
  </xdr:twoCellAnchor>
  <xdr:twoCellAnchor>
    <xdr:from>
      <xdr:col>9</xdr:col>
      <xdr:colOff>171450</xdr:colOff>
      <xdr:row>2</xdr:row>
      <xdr:rowOff>32026</xdr:rowOff>
    </xdr:from>
    <xdr:to>
      <xdr:col>10</xdr:col>
      <xdr:colOff>579120</xdr:colOff>
      <xdr:row>3</xdr:row>
      <xdr:rowOff>126890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1716BB8B-1B7E-4483-8336-8A1DB55BAD6D}"/>
            </a:ext>
          </a:extLst>
        </xdr:cNvPr>
        <xdr:cNvGrpSpPr/>
      </xdr:nvGrpSpPr>
      <xdr:grpSpPr>
        <a:xfrm>
          <a:off x="6223000" y="413026"/>
          <a:ext cx="1188720" cy="279014"/>
          <a:chOff x="7686537" y="50800"/>
          <a:chExt cx="1186235" cy="277081"/>
        </a:xfrm>
      </xdr:grpSpPr>
      <xdr:sp macro="[0]!ShowEditForm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0C1DEE02-1435-4182-84D1-43BB50031D40}"/>
              </a:ext>
            </a:extLst>
          </xdr:cNvPr>
          <xdr:cNvSpPr/>
        </xdr:nvSpPr>
        <xdr:spPr>
          <a:xfrm>
            <a:off x="7686537" y="50800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pic macro="[0]!ShowEditForm">
        <xdr:nvPicPr>
          <xdr:cNvPr id="21" name="Graphic 20" descr="Document with solid fill">
            <a:extLst>
              <a:ext uri="{FF2B5EF4-FFF2-40B4-BE49-F238E27FC236}">
                <a16:creationId xmlns:a16="http://schemas.microsoft.com/office/drawing/2014/main" id="{4CD18FD0-8BC4-4CD8-8845-FD369E73C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826" y="66261"/>
            <a:ext cx="248479" cy="247460"/>
          </a:xfrm>
          <a:prstGeom prst="rect">
            <a:avLst/>
          </a:prstGeom>
        </xdr:spPr>
      </xdr:pic>
      <xdr:sp macro="[0]!ShowEditForm" textlink="">
        <xdr:nvSpPr>
          <xdr:cNvPr id="23" name="TextBox 22">
            <a:extLst>
              <a:ext uri="{FF2B5EF4-FFF2-40B4-BE49-F238E27FC236}">
                <a16:creationId xmlns:a16="http://schemas.microsoft.com/office/drawing/2014/main" id="{C50FB64C-E7F4-4EA4-AA76-6C342FF18149}"/>
              </a:ext>
            </a:extLst>
          </xdr:cNvPr>
          <xdr:cNvSpPr txBox="1"/>
        </xdr:nvSpPr>
        <xdr:spPr>
          <a:xfrm>
            <a:off x="8006522" y="60739"/>
            <a:ext cx="70839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SG" sz="1100"/>
              <a:t>Edit Data</a:t>
            </a:r>
          </a:p>
        </xdr:txBody>
      </xdr:sp>
    </xdr:grpSp>
    <xdr:clientData/>
  </xdr:twoCellAnchor>
  <xdr:twoCellAnchor editAs="oneCell">
    <xdr:from>
      <xdr:col>9</xdr:col>
      <xdr:colOff>303695</xdr:colOff>
      <xdr:row>2</xdr:row>
      <xdr:rowOff>55216</xdr:rowOff>
    </xdr:from>
    <xdr:to>
      <xdr:col>9</xdr:col>
      <xdr:colOff>458305</xdr:colOff>
      <xdr:row>3</xdr:row>
      <xdr:rowOff>27609</xdr:rowOff>
    </xdr:to>
    <xdr:pic>
      <xdr:nvPicPr>
        <xdr:cNvPr id="18" name="Graphic 17" descr="Pen with solid fill">
          <a:extLst>
            <a:ext uri="{FF2B5EF4-FFF2-40B4-BE49-F238E27FC236}">
              <a16:creationId xmlns:a16="http://schemas.microsoft.com/office/drawing/2014/main" id="{DBAD8687-ACD6-4F49-BA46-330CC5866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818782" y="441738"/>
          <a:ext cx="154610" cy="154610"/>
        </a:xfrm>
        <a:prstGeom prst="rect">
          <a:avLst/>
        </a:prstGeom>
      </xdr:spPr>
    </xdr:pic>
    <xdr:clientData/>
  </xdr:twoCellAnchor>
  <xdr:twoCellAnchor>
    <xdr:from>
      <xdr:col>9</xdr:col>
      <xdr:colOff>171450</xdr:colOff>
      <xdr:row>4</xdr:row>
      <xdr:rowOff>2208</xdr:rowOff>
    </xdr:from>
    <xdr:to>
      <xdr:col>10</xdr:col>
      <xdr:colOff>579120</xdr:colOff>
      <xdr:row>5</xdr:row>
      <xdr:rowOff>58421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33AC19A8-E286-417A-A889-24DC5720930B}"/>
            </a:ext>
          </a:extLst>
        </xdr:cNvPr>
        <xdr:cNvGrpSpPr/>
      </xdr:nvGrpSpPr>
      <xdr:grpSpPr>
        <a:xfrm>
          <a:off x="6223000" y="789608"/>
          <a:ext cx="1188720" cy="278463"/>
          <a:chOff x="6237632" y="786296"/>
          <a:chExt cx="1186235" cy="277081"/>
        </a:xfrm>
      </xdr:grpSpPr>
      <xdr:sp macro="[0]!Update_Master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E1F13D9C-93CD-4050-9A09-9A20A274E04F}"/>
              </a:ext>
            </a:extLst>
          </xdr:cNvPr>
          <xdr:cNvSpPr/>
        </xdr:nvSpPr>
        <xdr:spPr>
          <a:xfrm>
            <a:off x="6237632" y="786296"/>
            <a:ext cx="1186235" cy="277081"/>
          </a:xfrm>
          <a:prstGeom prst="roundRect">
            <a:avLst/>
          </a:prstGeom>
          <a:ln>
            <a:solidFill>
              <a:schemeClr val="bg2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3"/>
          </a:fillRef>
          <a:effectRef idx="1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SG" sz="1100"/>
          </a:p>
        </xdr:txBody>
      </xdr:sp>
      <xdr:sp macro="[0]!Update_Master" textlink="">
        <xdr:nvSpPr>
          <xdr:cNvPr id="26" name="TextBox 25">
            <a:extLst>
              <a:ext uri="{FF2B5EF4-FFF2-40B4-BE49-F238E27FC236}">
                <a16:creationId xmlns:a16="http://schemas.microsoft.com/office/drawing/2014/main" id="{A49B71E9-7EA5-4715-ADF8-A68A600EB503}"/>
              </a:ext>
            </a:extLst>
          </xdr:cNvPr>
          <xdr:cNvSpPr txBox="1"/>
        </xdr:nvSpPr>
        <xdr:spPr>
          <a:xfrm>
            <a:off x="6557617" y="796235"/>
            <a:ext cx="6085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SG" sz="1100"/>
              <a:t>Update</a:t>
            </a:r>
          </a:p>
        </xdr:txBody>
      </xdr:sp>
      <xdr:pic macro="[0]!Update_Master">
        <xdr:nvPicPr>
          <xdr:cNvPr id="5" name="Graphic 4" descr="Upload outline">
            <a:extLst>
              <a:ext uri="{FF2B5EF4-FFF2-40B4-BE49-F238E27FC236}">
                <a16:creationId xmlns:a16="http://schemas.microsoft.com/office/drawing/2014/main" id="{66D92BE9-2AE6-4E6B-A7A2-1C6A7D35F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294782" y="811696"/>
            <a:ext cx="237435" cy="23743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B549AE-68E5-40DC-85DC-F05B15B2E4FB}" name="Tutee" displayName="Tutee" ref="A1:B3" totalsRowShown="0">
  <autoFilter ref="A1:B3" xr:uid="{BC6871C2-CF01-463A-82B6-2DEC271B365B}">
    <filterColumn colId="0" hiddenButton="1"/>
    <filterColumn colId="1" hiddenButton="1"/>
  </autoFilter>
  <tableColumns count="2">
    <tableColumn id="1" xr3:uid="{D63F4F92-6A51-41AC-9BD3-901A794FB7B4}" name="Name"/>
    <tableColumn id="2" xr3:uid="{422EC36C-0B71-4E0D-8E49-FE804DDC2A47}" name="Rat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AFC6F-491B-49D5-A4AE-F3C06707D5AD}">
  <sheetPr codeName="shMain"/>
  <dimension ref="A1:O197"/>
  <sheetViews>
    <sheetView showGridLines="0" topLeftCell="C1" zoomScaleNormal="100" workbookViewId="0">
      <selection activeCell="L12" sqref="L12"/>
    </sheetView>
  </sheetViews>
  <sheetFormatPr defaultColWidth="11.1796875" defaultRowHeight="14.5" x14ac:dyDescent="0.35"/>
  <cols>
    <col min="1" max="1" width="11.6328125" style="5" hidden="1" customWidth="1"/>
    <col min="2" max="2" width="9.26953125" style="5" hidden="1" customWidth="1"/>
    <col min="3" max="3" width="8.81640625" style="1" customWidth="1"/>
    <col min="4" max="4" width="14.6328125" customWidth="1"/>
    <col min="5" max="5" width="12.6328125" style="23" customWidth="1"/>
    <col min="6" max="7" width="12.6328125" customWidth="1"/>
    <col min="8" max="8" width="12.6328125" style="25" customWidth="1"/>
    <col min="9" max="9" width="12.6328125" style="20" customWidth="1"/>
    <col min="10" max="11" width="11.1796875" style="1"/>
  </cols>
  <sheetData>
    <row r="1" spans="1:15" ht="15" thickBot="1" x14ac:dyDescent="0.4">
      <c r="C1" s="12"/>
      <c r="D1" s="35" t="s">
        <v>49</v>
      </c>
      <c r="E1" s="36"/>
      <c r="F1" s="36"/>
      <c r="G1" s="36"/>
      <c r="H1" s="11" t="s">
        <v>11</v>
      </c>
      <c r="I1" s="30" t="s">
        <v>16</v>
      </c>
      <c r="J1" s="12"/>
    </row>
    <row r="2" spans="1:15" ht="15" thickTop="1" x14ac:dyDescent="0.35">
      <c r="C2" s="12"/>
      <c r="D2" s="35"/>
      <c r="E2" s="36"/>
      <c r="F2" s="36"/>
      <c r="G2" s="36"/>
      <c r="H2" s="2" t="s">
        <v>12</v>
      </c>
      <c r="I2" s="27" t="str">
        <f>SUM(H8:H1065) &amp; " Hrs"</f>
        <v>12 Hrs</v>
      </c>
      <c r="J2" s="12"/>
      <c r="O2" s="29"/>
    </row>
    <row r="3" spans="1:15" x14ac:dyDescent="0.35">
      <c r="C3" s="12"/>
      <c r="D3" s="14"/>
      <c r="E3" s="15"/>
      <c r="F3" s="15"/>
      <c r="G3" s="15"/>
      <c r="H3" s="2" t="s">
        <v>13</v>
      </c>
      <c r="I3" s="26">
        <f>SUM(I8:I1065)</f>
        <v>460</v>
      </c>
      <c r="J3" s="12"/>
    </row>
    <row r="4" spans="1:15" ht="17.5" customHeight="1" x14ac:dyDescent="0.35">
      <c r="A4" s="6" t="s">
        <v>27</v>
      </c>
      <c r="B4" s="6">
        <f>VLOOKUP($I$1,Control!$G$1:$H$12,2,FALSE)</f>
        <v>1</v>
      </c>
      <c r="C4" s="12"/>
      <c r="D4" s="14"/>
      <c r="E4" s="15"/>
      <c r="F4" s="15"/>
      <c r="G4" s="15"/>
      <c r="H4"/>
      <c r="I4" s="16"/>
      <c r="J4" s="12"/>
    </row>
    <row r="5" spans="1:15" ht="17.5" customHeight="1" x14ac:dyDescent="0.35">
      <c r="A5" s="6" t="s">
        <v>28</v>
      </c>
      <c r="B5" s="6" t="str">
        <f ca="1">IFERROR(MATCH($B$4,Dyn_Master,0)+2,"")</f>
        <v/>
      </c>
      <c r="C5" s="12"/>
      <c r="D5" s="14"/>
      <c r="E5" s="15"/>
      <c r="F5" s="15"/>
      <c r="G5" s="15"/>
      <c r="H5"/>
      <c r="I5" s="16"/>
      <c r="J5" s="12"/>
    </row>
    <row r="6" spans="1:15" ht="10" customHeight="1" x14ac:dyDescent="0.35">
      <c r="C6" s="12"/>
      <c r="D6" s="14"/>
      <c r="E6" s="15"/>
      <c r="F6" s="15"/>
      <c r="G6" s="15"/>
      <c r="H6"/>
      <c r="I6" s="16"/>
      <c r="J6" s="12"/>
    </row>
    <row r="7" spans="1:15" x14ac:dyDescent="0.35">
      <c r="C7" s="4" t="s">
        <v>7</v>
      </c>
      <c r="D7" s="3" t="s">
        <v>0</v>
      </c>
      <c r="E7" s="3" t="s">
        <v>4</v>
      </c>
      <c r="F7" s="3" t="s">
        <v>5</v>
      </c>
      <c r="G7" s="3" t="s">
        <v>6</v>
      </c>
      <c r="H7" s="17" t="s">
        <v>9</v>
      </c>
      <c r="I7" s="28" t="s">
        <v>10</v>
      </c>
      <c r="J7" s="3" t="s">
        <v>11</v>
      </c>
    </row>
    <row r="8" spans="1:15" x14ac:dyDescent="0.35">
      <c r="C8" s="12">
        <v>1</v>
      </c>
      <c r="D8" s="13" t="s">
        <v>3</v>
      </c>
      <c r="E8" s="22" t="s">
        <v>138</v>
      </c>
      <c r="F8" s="10" t="s">
        <v>41</v>
      </c>
      <c r="G8" s="10" t="s">
        <v>42</v>
      </c>
      <c r="H8" s="24">
        <v>2</v>
      </c>
      <c r="I8" s="18">
        <v>70</v>
      </c>
      <c r="J8" s="12">
        <v>1</v>
      </c>
      <c r="M8" s="21"/>
    </row>
    <row r="9" spans="1:15" x14ac:dyDescent="0.35">
      <c r="C9" s="12">
        <v>2</v>
      </c>
      <c r="D9" s="13" t="s">
        <v>2</v>
      </c>
      <c r="E9" s="22" t="s">
        <v>139</v>
      </c>
      <c r="F9" s="10" t="s">
        <v>41</v>
      </c>
      <c r="G9" s="10" t="s">
        <v>42</v>
      </c>
      <c r="H9" s="24">
        <v>2</v>
      </c>
      <c r="I9" s="18">
        <v>90</v>
      </c>
      <c r="J9" s="12">
        <v>1</v>
      </c>
    </row>
    <row r="10" spans="1:15" x14ac:dyDescent="0.35">
      <c r="C10" s="12">
        <v>3</v>
      </c>
      <c r="D10" s="13" t="s">
        <v>3</v>
      </c>
      <c r="E10" s="22" t="s">
        <v>140</v>
      </c>
      <c r="F10" s="10" t="s">
        <v>59</v>
      </c>
      <c r="G10" s="10" t="s">
        <v>141</v>
      </c>
      <c r="H10" s="24">
        <v>2</v>
      </c>
      <c r="I10" s="18">
        <v>70</v>
      </c>
      <c r="J10" s="12">
        <v>1</v>
      </c>
    </row>
    <row r="11" spans="1:15" x14ac:dyDescent="0.35">
      <c r="C11" s="12">
        <v>4</v>
      </c>
      <c r="D11" s="13" t="s">
        <v>3</v>
      </c>
      <c r="E11" s="22" t="s">
        <v>142</v>
      </c>
      <c r="F11" s="10" t="s">
        <v>48</v>
      </c>
      <c r="G11" s="10" t="s">
        <v>43</v>
      </c>
      <c r="H11" s="24">
        <v>2</v>
      </c>
      <c r="I11" s="18">
        <v>70</v>
      </c>
      <c r="J11" s="12">
        <v>1</v>
      </c>
    </row>
    <row r="12" spans="1:15" x14ac:dyDescent="0.35">
      <c r="C12" s="12">
        <v>5</v>
      </c>
      <c r="D12" s="13" t="s">
        <v>3</v>
      </c>
      <c r="E12" s="22" t="s">
        <v>143</v>
      </c>
      <c r="F12" s="10" t="s">
        <v>71</v>
      </c>
      <c r="G12" s="10" t="s">
        <v>48</v>
      </c>
      <c r="H12" s="24">
        <v>2</v>
      </c>
      <c r="I12" s="18">
        <v>70</v>
      </c>
      <c r="J12" s="12">
        <v>1</v>
      </c>
    </row>
    <row r="13" spans="1:15" x14ac:dyDescent="0.35">
      <c r="C13" s="12">
        <v>6</v>
      </c>
      <c r="D13" s="13" t="s">
        <v>2</v>
      </c>
      <c r="E13" s="22" t="s">
        <v>144</v>
      </c>
      <c r="F13" s="10" t="s">
        <v>47</v>
      </c>
      <c r="G13" s="10" t="s">
        <v>51</v>
      </c>
      <c r="H13" s="24">
        <v>2</v>
      </c>
      <c r="I13" s="18">
        <v>90</v>
      </c>
      <c r="J13" s="12">
        <v>1</v>
      </c>
    </row>
    <row r="14" spans="1:15" x14ac:dyDescent="0.35">
      <c r="C14" s="12"/>
      <c r="D14" s="13"/>
      <c r="E14" s="22"/>
      <c r="F14" s="10"/>
      <c r="G14" s="10"/>
      <c r="H14" s="24"/>
      <c r="I14" s="18"/>
      <c r="J14" s="12"/>
    </row>
    <row r="15" spans="1:15" x14ac:dyDescent="0.35">
      <c r="C15" s="12"/>
      <c r="D15" s="13"/>
      <c r="E15" s="22"/>
      <c r="F15" s="10"/>
      <c r="G15" s="10"/>
      <c r="H15" s="24"/>
      <c r="I15" s="18"/>
      <c r="J15" s="12"/>
    </row>
    <row r="16" spans="1:15" x14ac:dyDescent="0.35">
      <c r="C16" s="12"/>
      <c r="D16" s="13"/>
      <c r="E16" s="22"/>
      <c r="F16" s="10"/>
      <c r="G16" s="10"/>
      <c r="H16" s="24"/>
      <c r="I16" s="18"/>
      <c r="J16" s="12"/>
    </row>
    <row r="17" spans="3:10" x14ac:dyDescent="0.35">
      <c r="C17" s="12"/>
      <c r="D17" s="13"/>
      <c r="E17" s="22"/>
      <c r="F17" s="10"/>
      <c r="G17" s="10"/>
      <c r="H17" s="24"/>
      <c r="I17" s="18"/>
      <c r="J17" s="12"/>
    </row>
    <row r="18" spans="3:10" x14ac:dyDescent="0.35">
      <c r="C18" s="12"/>
      <c r="D18" s="13"/>
      <c r="E18" s="22"/>
      <c r="F18" s="10"/>
      <c r="G18" s="10"/>
      <c r="H18" s="24"/>
      <c r="I18" s="18"/>
      <c r="J18" s="12"/>
    </row>
    <row r="19" spans="3:10" x14ac:dyDescent="0.35">
      <c r="C19" s="12"/>
      <c r="D19" s="13"/>
      <c r="E19" s="22"/>
      <c r="F19" s="10"/>
      <c r="G19" s="10"/>
      <c r="H19" s="24"/>
      <c r="I19" s="18"/>
      <c r="J19" s="12"/>
    </row>
    <row r="20" spans="3:10" x14ac:dyDescent="0.35">
      <c r="C20" s="12"/>
      <c r="D20" s="13"/>
      <c r="E20" s="22"/>
      <c r="F20" s="10"/>
      <c r="G20" s="10"/>
      <c r="H20" s="24"/>
      <c r="I20" s="18"/>
      <c r="J20" s="12"/>
    </row>
    <row r="21" spans="3:10" x14ac:dyDescent="0.35">
      <c r="C21" s="12"/>
      <c r="D21" s="13"/>
      <c r="E21" s="22"/>
      <c r="F21" s="10"/>
      <c r="G21" s="10"/>
      <c r="H21" s="24"/>
      <c r="I21" s="18"/>
      <c r="J21" s="12"/>
    </row>
    <row r="22" spans="3:10" x14ac:dyDescent="0.35">
      <c r="C22" s="12"/>
      <c r="D22" s="13"/>
      <c r="E22" s="22"/>
      <c r="F22" s="10"/>
      <c r="G22" s="10"/>
      <c r="H22" s="24"/>
      <c r="I22" s="18"/>
      <c r="J22" s="12"/>
    </row>
    <row r="23" spans="3:10" x14ac:dyDescent="0.35">
      <c r="C23" s="12"/>
      <c r="D23" s="13"/>
      <c r="E23" s="22"/>
      <c r="F23" s="10"/>
      <c r="G23" s="10"/>
      <c r="H23" s="24"/>
      <c r="I23" s="18"/>
      <c r="J23" s="12"/>
    </row>
    <row r="24" spans="3:10" x14ac:dyDescent="0.35">
      <c r="C24" s="12"/>
      <c r="D24" s="13"/>
      <c r="E24" s="22"/>
      <c r="F24" s="10"/>
      <c r="G24" s="10"/>
      <c r="H24" s="24"/>
      <c r="I24" s="18"/>
      <c r="J24" s="12"/>
    </row>
    <row r="25" spans="3:10" x14ac:dyDescent="0.35">
      <c r="C25" s="12"/>
      <c r="D25" s="13"/>
      <c r="E25" s="22"/>
      <c r="F25" s="10"/>
      <c r="G25" s="10"/>
      <c r="H25" s="24"/>
      <c r="I25" s="18"/>
      <c r="J25" s="12"/>
    </row>
    <row r="26" spans="3:10" x14ac:dyDescent="0.35">
      <c r="C26" s="12"/>
      <c r="D26" s="13"/>
      <c r="E26" s="22"/>
      <c r="F26" s="10"/>
      <c r="G26" s="10"/>
      <c r="H26" s="24"/>
      <c r="I26" s="18"/>
      <c r="J26" s="12"/>
    </row>
    <row r="27" spans="3:10" x14ac:dyDescent="0.35">
      <c r="C27" s="12"/>
      <c r="D27" s="13"/>
      <c r="E27" s="22"/>
      <c r="F27" s="10"/>
      <c r="G27" s="10"/>
      <c r="H27" s="24"/>
      <c r="I27" s="18"/>
      <c r="J27" s="12"/>
    </row>
    <row r="28" spans="3:10" x14ac:dyDescent="0.35">
      <c r="C28" s="12"/>
      <c r="D28" s="13"/>
      <c r="E28" s="22"/>
      <c r="F28" s="10"/>
      <c r="G28" s="10"/>
      <c r="H28" s="24"/>
      <c r="I28" s="18"/>
      <c r="J28" s="12"/>
    </row>
    <row r="29" spans="3:10" x14ac:dyDescent="0.35">
      <c r="C29" s="12"/>
      <c r="D29" s="13"/>
      <c r="E29" s="22"/>
      <c r="F29" s="10"/>
      <c r="G29" s="10"/>
      <c r="H29" s="24"/>
      <c r="I29" s="18"/>
      <c r="J29" s="12"/>
    </row>
    <row r="30" spans="3:10" x14ac:dyDescent="0.35">
      <c r="C30" s="12"/>
      <c r="D30" s="13"/>
      <c r="E30" s="22"/>
      <c r="F30" s="10"/>
      <c r="G30" s="10"/>
      <c r="H30" s="24"/>
      <c r="I30" s="18"/>
      <c r="J30" s="12"/>
    </row>
    <row r="31" spans="3:10" x14ac:dyDescent="0.35">
      <c r="C31" s="12"/>
      <c r="D31" s="13"/>
      <c r="E31" s="22"/>
      <c r="F31" s="10"/>
      <c r="G31" s="10"/>
      <c r="H31" s="24"/>
      <c r="I31" s="18"/>
      <c r="J31" s="12"/>
    </row>
    <row r="32" spans="3:10" x14ac:dyDescent="0.35">
      <c r="C32" s="12"/>
      <c r="D32" s="13"/>
      <c r="E32" s="22"/>
      <c r="F32" s="10"/>
      <c r="G32" s="10"/>
      <c r="H32" s="24"/>
      <c r="I32" s="18"/>
      <c r="J32" s="12"/>
    </row>
    <row r="33" spans="3:10" x14ac:dyDescent="0.35">
      <c r="C33" s="12"/>
      <c r="D33" s="13"/>
      <c r="E33" s="22"/>
      <c r="F33" s="10"/>
      <c r="G33" s="10"/>
      <c r="H33" s="24"/>
      <c r="I33" s="18"/>
      <c r="J33" s="12"/>
    </row>
    <row r="34" spans="3:10" x14ac:dyDescent="0.35">
      <c r="C34" s="12"/>
      <c r="D34" s="13"/>
      <c r="E34" s="22"/>
      <c r="F34" s="10"/>
      <c r="G34" s="10"/>
      <c r="H34" s="24"/>
      <c r="I34" s="18"/>
      <c r="J34" s="12"/>
    </row>
    <row r="35" spans="3:10" x14ac:dyDescent="0.35">
      <c r="C35" s="12"/>
      <c r="D35" s="13"/>
      <c r="E35" s="22"/>
      <c r="F35" s="10"/>
      <c r="G35" s="10"/>
      <c r="H35" s="24"/>
      <c r="I35" s="18"/>
      <c r="J35" s="12"/>
    </row>
    <row r="36" spans="3:10" x14ac:dyDescent="0.35">
      <c r="C36" s="12"/>
      <c r="D36" s="13"/>
      <c r="E36" s="22"/>
      <c r="F36" s="10"/>
      <c r="G36" s="10"/>
      <c r="H36" s="24"/>
      <c r="I36" s="18"/>
      <c r="J36" s="12"/>
    </row>
    <row r="37" spans="3:10" x14ac:dyDescent="0.35">
      <c r="C37" s="12"/>
      <c r="D37" s="13"/>
      <c r="E37" s="22"/>
      <c r="F37" s="10"/>
      <c r="G37" s="10"/>
      <c r="H37" s="24"/>
      <c r="I37" s="18"/>
      <c r="J37" s="12"/>
    </row>
    <row r="38" spans="3:10" x14ac:dyDescent="0.35">
      <c r="C38" s="12"/>
      <c r="D38" s="13"/>
      <c r="E38" s="22"/>
      <c r="F38" s="10"/>
      <c r="G38" s="10"/>
      <c r="H38" s="24"/>
      <c r="I38" s="18"/>
      <c r="J38" s="12"/>
    </row>
    <row r="39" spans="3:10" x14ac:dyDescent="0.35">
      <c r="C39" s="12"/>
      <c r="D39" s="13"/>
      <c r="E39" s="22"/>
      <c r="F39" s="10"/>
      <c r="G39" s="10"/>
      <c r="H39" s="24"/>
      <c r="I39" s="18"/>
      <c r="J39" s="12"/>
    </row>
    <row r="40" spans="3:10" x14ac:dyDescent="0.35">
      <c r="C40" s="12"/>
      <c r="D40" s="13"/>
      <c r="E40" s="22"/>
      <c r="F40" s="10"/>
      <c r="G40" s="10"/>
      <c r="H40" s="24"/>
      <c r="I40" s="18"/>
      <c r="J40" s="12"/>
    </row>
    <row r="41" spans="3:10" x14ac:dyDescent="0.35">
      <c r="C41" s="12"/>
      <c r="D41" s="13"/>
      <c r="E41" s="22"/>
      <c r="F41" s="10"/>
      <c r="G41" s="10"/>
      <c r="H41" s="24"/>
      <c r="I41" s="18"/>
      <c r="J41" s="12"/>
    </row>
    <row r="42" spans="3:10" x14ac:dyDescent="0.35">
      <c r="C42" s="12"/>
      <c r="D42" s="13"/>
      <c r="E42" s="22"/>
      <c r="F42" s="10"/>
      <c r="G42" s="10"/>
      <c r="H42" s="24"/>
      <c r="I42" s="18"/>
      <c r="J42" s="12"/>
    </row>
    <row r="43" spans="3:10" x14ac:dyDescent="0.35">
      <c r="C43" s="12"/>
      <c r="D43" s="13"/>
      <c r="E43" s="22"/>
      <c r="F43" s="10"/>
      <c r="G43" s="10"/>
      <c r="H43" s="24"/>
      <c r="I43" s="18"/>
      <c r="J43" s="12"/>
    </row>
    <row r="44" spans="3:10" x14ac:dyDescent="0.35">
      <c r="C44" s="12"/>
      <c r="D44" s="13"/>
      <c r="E44" s="22"/>
      <c r="F44" s="10"/>
      <c r="G44" s="10"/>
      <c r="H44" s="24"/>
      <c r="I44" s="18"/>
      <c r="J44" s="12"/>
    </row>
    <row r="45" spans="3:10" x14ac:dyDescent="0.35">
      <c r="C45" s="12"/>
      <c r="D45" s="13"/>
      <c r="E45" s="22"/>
      <c r="F45" s="10"/>
      <c r="G45" s="10"/>
      <c r="H45" s="24"/>
      <c r="I45" s="18"/>
      <c r="J45" s="12"/>
    </row>
    <row r="46" spans="3:10" x14ac:dyDescent="0.35">
      <c r="C46" s="12"/>
      <c r="D46" s="13"/>
      <c r="E46" s="22"/>
      <c r="F46" s="10"/>
      <c r="G46" s="10"/>
      <c r="H46" s="24"/>
      <c r="I46" s="18"/>
      <c r="J46" s="12"/>
    </row>
    <row r="47" spans="3:10" x14ac:dyDescent="0.35">
      <c r="C47" s="12"/>
      <c r="D47" s="13"/>
      <c r="E47" s="22"/>
      <c r="F47" s="10"/>
      <c r="G47" s="10"/>
      <c r="H47" s="24"/>
      <c r="I47" s="18"/>
      <c r="J47" s="12"/>
    </row>
    <row r="48" spans="3:10" x14ac:dyDescent="0.35">
      <c r="C48" s="12"/>
      <c r="D48" s="13"/>
      <c r="E48" s="22"/>
      <c r="F48" s="10"/>
      <c r="G48" s="10"/>
      <c r="H48" s="24"/>
      <c r="I48" s="18"/>
      <c r="J48" s="12"/>
    </row>
    <row r="49" spans="3:10" x14ac:dyDescent="0.35">
      <c r="C49" s="12"/>
      <c r="D49" s="13"/>
      <c r="E49" s="22"/>
      <c r="F49" s="10"/>
      <c r="G49" s="10"/>
      <c r="H49" s="24"/>
      <c r="I49" s="18"/>
      <c r="J49" s="12"/>
    </row>
    <row r="50" spans="3:10" x14ac:dyDescent="0.35">
      <c r="C50" s="12"/>
      <c r="D50" s="13"/>
      <c r="E50" s="22"/>
      <c r="F50" s="10"/>
      <c r="G50" s="10"/>
      <c r="H50" s="24"/>
      <c r="I50" s="18"/>
      <c r="J50" s="12"/>
    </row>
    <row r="51" spans="3:10" x14ac:dyDescent="0.35">
      <c r="C51" s="12"/>
      <c r="D51" s="13"/>
      <c r="E51" s="22"/>
      <c r="F51" s="10"/>
      <c r="G51" s="10"/>
      <c r="H51" s="24"/>
      <c r="I51" s="18"/>
      <c r="J51" s="12"/>
    </row>
    <row r="52" spans="3:10" x14ac:dyDescent="0.35">
      <c r="C52" s="12"/>
      <c r="D52" s="13"/>
      <c r="E52" s="22"/>
      <c r="F52" s="10"/>
      <c r="G52" s="10"/>
      <c r="H52" s="24"/>
      <c r="I52" s="18"/>
      <c r="J52" s="12"/>
    </row>
    <row r="53" spans="3:10" x14ac:dyDescent="0.35">
      <c r="C53" s="12"/>
      <c r="D53" s="13"/>
      <c r="E53" s="22"/>
      <c r="F53" s="10"/>
      <c r="G53" s="10"/>
      <c r="H53" s="24"/>
      <c r="I53" s="18"/>
      <c r="J53" s="12"/>
    </row>
    <row r="54" spans="3:10" x14ac:dyDescent="0.35">
      <c r="C54" s="12"/>
      <c r="D54" s="13"/>
      <c r="E54" s="22"/>
      <c r="F54" s="10"/>
      <c r="G54" s="10"/>
      <c r="H54" s="24"/>
      <c r="I54" s="18"/>
      <c r="J54" s="12"/>
    </row>
    <row r="55" spans="3:10" x14ac:dyDescent="0.35">
      <c r="C55" s="12"/>
      <c r="D55" s="13"/>
      <c r="E55" s="22"/>
      <c r="F55" s="10"/>
      <c r="G55" s="10"/>
      <c r="H55" s="24"/>
      <c r="I55" s="18"/>
      <c r="J55" s="12"/>
    </row>
    <row r="56" spans="3:10" x14ac:dyDescent="0.35">
      <c r="C56" s="12"/>
      <c r="D56" s="13"/>
      <c r="E56" s="22"/>
      <c r="F56" s="10"/>
      <c r="G56" s="10"/>
      <c r="H56" s="24"/>
      <c r="I56" s="18"/>
      <c r="J56" s="12"/>
    </row>
    <row r="57" spans="3:10" x14ac:dyDescent="0.35">
      <c r="C57" s="12"/>
      <c r="D57" s="13"/>
      <c r="E57" s="22"/>
      <c r="F57" s="10"/>
      <c r="G57" s="10"/>
      <c r="H57" s="24"/>
      <c r="I57" s="18"/>
      <c r="J57" s="12"/>
    </row>
    <row r="58" spans="3:10" x14ac:dyDescent="0.35">
      <c r="C58" s="12"/>
      <c r="D58" s="13"/>
      <c r="E58" s="22"/>
      <c r="F58" s="10"/>
      <c r="G58" s="10"/>
      <c r="H58" s="24"/>
      <c r="I58" s="18"/>
      <c r="J58" s="12"/>
    </row>
    <row r="59" spans="3:10" x14ac:dyDescent="0.35">
      <c r="C59" s="12"/>
      <c r="D59" s="13"/>
      <c r="E59" s="22"/>
      <c r="F59" s="10"/>
      <c r="G59" s="10"/>
      <c r="H59" s="24"/>
      <c r="I59" s="18"/>
      <c r="J59" s="12"/>
    </row>
    <row r="60" spans="3:10" x14ac:dyDescent="0.35">
      <c r="C60" s="12"/>
      <c r="D60" s="13"/>
      <c r="E60" s="22"/>
      <c r="F60" s="10"/>
      <c r="G60" s="10"/>
      <c r="H60" s="24"/>
      <c r="I60" s="18"/>
      <c r="J60" s="12"/>
    </row>
    <row r="61" spans="3:10" x14ac:dyDescent="0.35">
      <c r="C61" s="12"/>
      <c r="D61" s="13"/>
      <c r="E61" s="22"/>
      <c r="F61" s="10"/>
      <c r="G61" s="10"/>
      <c r="H61" s="24"/>
      <c r="I61" s="18"/>
      <c r="J61" s="12"/>
    </row>
    <row r="62" spans="3:10" x14ac:dyDescent="0.35">
      <c r="C62" s="12"/>
      <c r="D62" s="13"/>
      <c r="E62" s="22"/>
      <c r="F62" s="10"/>
      <c r="G62" s="10"/>
      <c r="H62" s="24"/>
      <c r="I62" s="18"/>
      <c r="J62" s="12"/>
    </row>
    <row r="63" spans="3:10" x14ac:dyDescent="0.35">
      <c r="C63" s="12"/>
      <c r="D63" s="13"/>
      <c r="E63" s="22"/>
      <c r="F63" s="10"/>
      <c r="G63" s="10"/>
      <c r="H63" s="24"/>
      <c r="I63" s="18"/>
      <c r="J63" s="12"/>
    </row>
    <row r="64" spans="3:10" x14ac:dyDescent="0.35">
      <c r="C64" s="12"/>
      <c r="D64" s="13"/>
      <c r="E64" s="22"/>
      <c r="F64" s="10"/>
      <c r="G64" s="10"/>
      <c r="H64" s="24"/>
      <c r="I64" s="18"/>
      <c r="J64" s="12"/>
    </row>
    <row r="65" spans="3:10" x14ac:dyDescent="0.35">
      <c r="C65" s="12"/>
      <c r="D65" s="13"/>
      <c r="E65" s="22"/>
      <c r="F65" s="10"/>
      <c r="G65" s="10"/>
      <c r="H65" s="24"/>
      <c r="I65" s="18"/>
      <c r="J65" s="12"/>
    </row>
    <row r="66" spans="3:10" x14ac:dyDescent="0.35">
      <c r="C66" s="12"/>
      <c r="D66" s="13"/>
      <c r="E66" s="22"/>
      <c r="F66" s="10"/>
      <c r="G66" s="10"/>
      <c r="H66" s="24"/>
      <c r="I66" s="18"/>
      <c r="J66" s="12"/>
    </row>
    <row r="67" spans="3:10" x14ac:dyDescent="0.35">
      <c r="C67" s="12"/>
      <c r="D67" s="13"/>
      <c r="E67" s="22"/>
      <c r="F67" s="10"/>
      <c r="G67" s="10"/>
      <c r="H67" s="24"/>
      <c r="I67" s="18"/>
      <c r="J67" s="12"/>
    </row>
    <row r="68" spans="3:10" x14ac:dyDescent="0.35">
      <c r="C68" s="12"/>
      <c r="D68" s="13"/>
      <c r="E68" s="22"/>
      <c r="F68" s="10"/>
      <c r="G68" s="10"/>
      <c r="H68" s="24"/>
      <c r="I68" s="18"/>
      <c r="J68" s="12"/>
    </row>
    <row r="69" spans="3:10" x14ac:dyDescent="0.35">
      <c r="C69" s="12"/>
      <c r="D69" s="13"/>
      <c r="E69" s="22"/>
      <c r="F69" s="10"/>
      <c r="G69" s="10"/>
      <c r="H69" s="24"/>
      <c r="I69" s="18"/>
      <c r="J69" s="12"/>
    </row>
    <row r="70" spans="3:10" x14ac:dyDescent="0.35">
      <c r="C70" s="12"/>
      <c r="D70" s="13"/>
      <c r="E70" s="22"/>
      <c r="F70" s="10"/>
      <c r="G70" s="10"/>
      <c r="H70" s="24"/>
      <c r="I70" s="18"/>
      <c r="J70" s="12"/>
    </row>
    <row r="71" spans="3:10" x14ac:dyDescent="0.35">
      <c r="C71" s="12"/>
      <c r="D71" s="13"/>
      <c r="E71" s="22"/>
      <c r="F71" s="10"/>
      <c r="G71" s="10"/>
      <c r="H71" s="24"/>
      <c r="I71" s="18"/>
      <c r="J71" s="12"/>
    </row>
    <row r="72" spans="3:10" x14ac:dyDescent="0.35">
      <c r="C72" s="12"/>
      <c r="D72" s="13"/>
      <c r="E72" s="22"/>
      <c r="F72" s="10"/>
      <c r="G72" s="10"/>
      <c r="H72" s="24"/>
      <c r="I72" s="18"/>
      <c r="J72" s="12"/>
    </row>
    <row r="73" spans="3:10" x14ac:dyDescent="0.35">
      <c r="C73" s="12"/>
      <c r="D73" s="13"/>
      <c r="E73" s="22"/>
      <c r="F73" s="10"/>
      <c r="G73" s="10"/>
      <c r="H73" s="24"/>
      <c r="I73" s="18"/>
      <c r="J73" s="12"/>
    </row>
    <row r="74" spans="3:10" x14ac:dyDescent="0.35">
      <c r="C74" s="12"/>
      <c r="D74" s="13"/>
      <c r="E74" s="22"/>
      <c r="F74" s="10"/>
      <c r="G74" s="10"/>
      <c r="H74" s="24"/>
      <c r="I74" s="18"/>
      <c r="J74" s="12"/>
    </row>
    <row r="75" spans="3:10" x14ac:dyDescent="0.35">
      <c r="C75" s="12"/>
      <c r="D75" s="13"/>
      <c r="E75" s="22"/>
      <c r="F75" s="10"/>
      <c r="G75" s="10"/>
      <c r="H75" s="24"/>
      <c r="I75" s="18"/>
      <c r="J75" s="12"/>
    </row>
    <row r="76" spans="3:10" x14ac:dyDescent="0.35">
      <c r="C76" s="12"/>
      <c r="D76" s="13"/>
      <c r="E76" s="22"/>
      <c r="F76" s="10"/>
      <c r="G76" s="10"/>
      <c r="H76" s="24"/>
      <c r="I76" s="18"/>
      <c r="J76" s="12"/>
    </row>
    <row r="77" spans="3:10" x14ac:dyDescent="0.35">
      <c r="C77" s="12"/>
      <c r="D77" s="13"/>
      <c r="E77" s="22"/>
      <c r="F77" s="10"/>
      <c r="G77" s="10"/>
      <c r="H77" s="24"/>
      <c r="I77" s="18"/>
      <c r="J77" s="12"/>
    </row>
    <row r="78" spans="3:10" x14ac:dyDescent="0.35">
      <c r="C78" s="12"/>
      <c r="D78" s="13"/>
      <c r="E78" s="22"/>
      <c r="F78" s="10"/>
      <c r="G78" s="10"/>
      <c r="H78" s="24"/>
      <c r="I78" s="18"/>
      <c r="J78" s="12"/>
    </row>
    <row r="79" spans="3:10" x14ac:dyDescent="0.35">
      <c r="C79" s="12"/>
      <c r="D79" s="13"/>
      <c r="E79" s="22"/>
      <c r="F79" s="10"/>
      <c r="G79" s="10"/>
      <c r="H79" s="24"/>
      <c r="I79" s="18"/>
      <c r="J79" s="12"/>
    </row>
    <row r="80" spans="3:10" x14ac:dyDescent="0.35">
      <c r="C80" s="12"/>
      <c r="D80" s="13"/>
      <c r="E80" s="22"/>
      <c r="F80" s="10"/>
      <c r="G80" s="10"/>
      <c r="H80" s="24"/>
      <c r="I80" s="18"/>
      <c r="J80" s="12"/>
    </row>
    <row r="81" spans="3:10" x14ac:dyDescent="0.35">
      <c r="C81" s="12"/>
      <c r="D81" s="13"/>
      <c r="E81" s="22"/>
      <c r="F81" s="10"/>
      <c r="G81" s="10"/>
      <c r="H81" s="24"/>
      <c r="I81" s="18"/>
      <c r="J81" s="12"/>
    </row>
    <row r="82" spans="3:10" x14ac:dyDescent="0.35">
      <c r="C82" s="12"/>
      <c r="D82" s="13"/>
      <c r="E82" s="22"/>
      <c r="F82" s="10"/>
      <c r="G82" s="10"/>
      <c r="H82" s="24"/>
      <c r="I82" s="18"/>
      <c r="J82" s="12"/>
    </row>
    <row r="83" spans="3:10" x14ac:dyDescent="0.35">
      <c r="C83" s="12"/>
      <c r="D83" s="13"/>
      <c r="E83" s="22"/>
      <c r="F83" s="10"/>
      <c r="G83" s="10"/>
      <c r="H83" s="24"/>
      <c r="I83" s="18"/>
      <c r="J83" s="12"/>
    </row>
    <row r="84" spans="3:10" x14ac:dyDescent="0.35">
      <c r="C84" s="12"/>
      <c r="D84" s="13"/>
      <c r="E84" s="22"/>
      <c r="F84" s="10"/>
      <c r="G84" s="10"/>
      <c r="H84" s="24"/>
      <c r="I84" s="18"/>
      <c r="J84" s="12"/>
    </row>
    <row r="85" spans="3:10" x14ac:dyDescent="0.35">
      <c r="C85" s="12"/>
      <c r="D85" s="13"/>
      <c r="E85" s="22"/>
      <c r="F85" s="10"/>
      <c r="G85" s="10"/>
      <c r="H85" s="24"/>
      <c r="I85" s="18"/>
      <c r="J85" s="12"/>
    </row>
    <row r="86" spans="3:10" x14ac:dyDescent="0.35">
      <c r="C86" s="12"/>
      <c r="D86" s="13"/>
      <c r="E86" s="22"/>
      <c r="F86" s="10"/>
      <c r="G86" s="10"/>
      <c r="H86" s="24"/>
      <c r="I86" s="18"/>
      <c r="J86" s="12"/>
    </row>
    <row r="87" spans="3:10" x14ac:dyDescent="0.35">
      <c r="C87" s="12"/>
      <c r="D87" s="13"/>
      <c r="E87" s="22"/>
      <c r="F87" s="10"/>
      <c r="G87" s="10"/>
      <c r="H87" s="24"/>
      <c r="I87" s="18"/>
      <c r="J87" s="12"/>
    </row>
    <row r="88" spans="3:10" x14ac:dyDescent="0.35">
      <c r="C88" s="12"/>
      <c r="D88" s="13"/>
      <c r="E88" s="22"/>
      <c r="F88" s="10"/>
      <c r="G88" s="10"/>
      <c r="H88" s="24"/>
      <c r="I88" s="18"/>
      <c r="J88" s="12"/>
    </row>
    <row r="89" spans="3:10" x14ac:dyDescent="0.35">
      <c r="C89" s="12"/>
      <c r="D89" s="13"/>
      <c r="E89" s="22"/>
      <c r="F89" s="10"/>
      <c r="G89" s="10"/>
      <c r="H89" s="24"/>
      <c r="I89" s="18"/>
      <c r="J89" s="12"/>
    </row>
    <row r="90" spans="3:10" x14ac:dyDescent="0.35">
      <c r="C90" s="12"/>
      <c r="D90" s="13"/>
      <c r="E90" s="22"/>
      <c r="F90" s="10"/>
      <c r="G90" s="10"/>
      <c r="H90" s="24"/>
      <c r="I90" s="18"/>
      <c r="J90" s="12"/>
    </row>
    <row r="91" spans="3:10" x14ac:dyDescent="0.35">
      <c r="C91" s="12"/>
      <c r="D91" s="13"/>
      <c r="E91" s="22"/>
      <c r="F91" s="10"/>
      <c r="G91" s="10"/>
      <c r="H91" s="24"/>
      <c r="I91" s="18"/>
      <c r="J91" s="12"/>
    </row>
    <row r="92" spans="3:10" x14ac:dyDescent="0.35">
      <c r="C92" s="12"/>
      <c r="D92" s="13"/>
      <c r="E92" s="22"/>
      <c r="F92" s="10"/>
      <c r="G92" s="10"/>
      <c r="H92" s="24"/>
      <c r="I92" s="18"/>
      <c r="J92" s="12"/>
    </row>
    <row r="93" spans="3:10" x14ac:dyDescent="0.35">
      <c r="C93" s="12"/>
      <c r="D93" s="13"/>
      <c r="E93" s="22"/>
      <c r="F93" s="10"/>
      <c r="G93" s="10"/>
      <c r="H93" s="24"/>
      <c r="I93" s="18"/>
      <c r="J93" s="12"/>
    </row>
    <row r="94" spans="3:10" x14ac:dyDescent="0.35">
      <c r="C94" s="12"/>
      <c r="D94" s="13"/>
      <c r="E94" s="22"/>
      <c r="F94" s="10"/>
      <c r="G94" s="10"/>
      <c r="H94" s="24"/>
      <c r="I94" s="18"/>
      <c r="J94" s="12"/>
    </row>
    <row r="95" spans="3:10" x14ac:dyDescent="0.35">
      <c r="C95" s="12"/>
      <c r="D95" s="13"/>
      <c r="E95" s="22"/>
      <c r="F95" s="10"/>
      <c r="G95" s="10"/>
      <c r="H95" s="24"/>
      <c r="I95" s="18"/>
      <c r="J95" s="12"/>
    </row>
    <row r="96" spans="3:10" x14ac:dyDescent="0.35">
      <c r="C96" s="12"/>
      <c r="D96" s="13"/>
      <c r="E96" s="22"/>
      <c r="F96" s="10"/>
      <c r="G96" s="10"/>
      <c r="H96" s="24"/>
      <c r="I96" s="18"/>
      <c r="J96" s="12"/>
    </row>
    <row r="97" spans="3:10" x14ac:dyDescent="0.35">
      <c r="C97" s="12"/>
      <c r="D97" s="13"/>
      <c r="E97" s="22"/>
      <c r="F97" s="10"/>
      <c r="G97" s="10"/>
      <c r="H97" s="24"/>
      <c r="I97" s="18"/>
      <c r="J97" s="12"/>
    </row>
    <row r="98" spans="3:10" x14ac:dyDescent="0.35">
      <c r="C98" s="12"/>
      <c r="D98" s="13"/>
      <c r="E98" s="22"/>
      <c r="F98" s="10"/>
      <c r="G98" s="10"/>
      <c r="H98" s="24"/>
      <c r="I98" s="18"/>
      <c r="J98" s="12"/>
    </row>
    <row r="99" spans="3:10" x14ac:dyDescent="0.35">
      <c r="C99" s="12"/>
      <c r="D99" s="13"/>
      <c r="E99" s="22"/>
      <c r="F99" s="10"/>
      <c r="G99" s="10"/>
      <c r="H99" s="24"/>
      <c r="I99" s="18"/>
      <c r="J99" s="12"/>
    </row>
    <row r="100" spans="3:10" x14ac:dyDescent="0.35">
      <c r="C100" s="12"/>
      <c r="D100" s="13"/>
      <c r="E100" s="22"/>
      <c r="F100" s="10"/>
      <c r="G100" s="10"/>
      <c r="H100" s="24"/>
      <c r="I100" s="18"/>
      <c r="J100" s="12"/>
    </row>
    <row r="101" spans="3:10" x14ac:dyDescent="0.35">
      <c r="C101" s="12"/>
      <c r="D101" s="13"/>
      <c r="E101" s="22"/>
      <c r="F101" s="10"/>
      <c r="G101" s="10"/>
      <c r="H101" s="24"/>
      <c r="I101" s="18"/>
      <c r="J101" s="12"/>
    </row>
    <row r="102" spans="3:10" x14ac:dyDescent="0.35">
      <c r="C102" s="12"/>
      <c r="D102" s="13"/>
      <c r="E102" s="22"/>
      <c r="F102" s="10"/>
      <c r="G102" s="10"/>
      <c r="H102" s="24"/>
      <c r="I102" s="18"/>
      <c r="J102" s="12"/>
    </row>
    <row r="103" spans="3:10" x14ac:dyDescent="0.35">
      <c r="C103" s="12"/>
      <c r="D103" s="13"/>
      <c r="E103" s="22"/>
      <c r="F103" s="10"/>
      <c r="G103" s="10"/>
      <c r="H103" s="24"/>
      <c r="I103" s="18"/>
      <c r="J103" s="12"/>
    </row>
    <row r="104" spans="3:10" x14ac:dyDescent="0.35">
      <c r="C104" s="12"/>
      <c r="D104" s="13"/>
      <c r="E104" s="22"/>
      <c r="F104" s="10"/>
      <c r="G104" s="10"/>
      <c r="H104" s="24"/>
      <c r="I104" s="18"/>
      <c r="J104" s="12"/>
    </row>
    <row r="105" spans="3:10" x14ac:dyDescent="0.35">
      <c r="C105" s="12"/>
      <c r="D105" s="13"/>
      <c r="E105" s="22"/>
      <c r="F105" s="10"/>
      <c r="G105" s="10"/>
      <c r="H105" s="24"/>
      <c r="I105" s="18"/>
      <c r="J105" s="12"/>
    </row>
    <row r="106" spans="3:10" x14ac:dyDescent="0.35">
      <c r="C106" s="12"/>
      <c r="D106" s="13"/>
      <c r="E106" s="22"/>
      <c r="F106" s="10"/>
      <c r="G106" s="10"/>
      <c r="H106" s="24"/>
      <c r="I106" s="18"/>
      <c r="J106" s="12"/>
    </row>
    <row r="107" spans="3:10" x14ac:dyDescent="0.35">
      <c r="C107" s="12"/>
      <c r="D107" s="13"/>
      <c r="E107" s="22"/>
      <c r="F107" s="10"/>
      <c r="G107" s="10"/>
      <c r="H107" s="24"/>
      <c r="I107" s="18"/>
      <c r="J107" s="12"/>
    </row>
    <row r="108" spans="3:10" x14ac:dyDescent="0.35">
      <c r="C108" s="12"/>
      <c r="D108" s="13"/>
      <c r="E108" s="22"/>
      <c r="F108" s="10"/>
      <c r="G108" s="10"/>
      <c r="H108" s="24"/>
      <c r="I108" s="18"/>
      <c r="J108" s="12"/>
    </row>
    <row r="109" spans="3:10" x14ac:dyDescent="0.35">
      <c r="C109" s="12"/>
      <c r="D109" s="13"/>
      <c r="E109" s="22"/>
      <c r="F109" s="10"/>
      <c r="G109" s="10"/>
      <c r="H109" s="24"/>
      <c r="I109" s="18"/>
      <c r="J109" s="12"/>
    </row>
    <row r="110" spans="3:10" x14ac:dyDescent="0.35">
      <c r="C110" s="12"/>
      <c r="D110" s="13"/>
      <c r="E110" s="22"/>
      <c r="F110" s="10"/>
      <c r="G110" s="10"/>
      <c r="H110" s="24"/>
      <c r="I110" s="18"/>
      <c r="J110" s="12"/>
    </row>
    <row r="111" spans="3:10" x14ac:dyDescent="0.35">
      <c r="C111" s="12"/>
      <c r="D111" s="13"/>
      <c r="E111" s="22"/>
      <c r="F111" s="10"/>
      <c r="G111" s="10"/>
      <c r="H111" s="24"/>
      <c r="I111" s="18"/>
      <c r="J111" s="12"/>
    </row>
    <row r="112" spans="3:10" x14ac:dyDescent="0.35">
      <c r="C112" s="12"/>
      <c r="D112" s="13"/>
      <c r="E112" s="22"/>
      <c r="F112" s="10"/>
      <c r="G112" s="10"/>
      <c r="H112" s="24"/>
      <c r="I112" s="18"/>
      <c r="J112" s="12"/>
    </row>
    <row r="113" spans="3:10" x14ac:dyDescent="0.35">
      <c r="C113" s="12"/>
      <c r="D113" s="13"/>
      <c r="E113" s="22"/>
      <c r="F113" s="10"/>
      <c r="G113" s="10"/>
      <c r="H113" s="24"/>
      <c r="I113" s="18"/>
      <c r="J113" s="12"/>
    </row>
    <row r="114" spans="3:10" x14ac:dyDescent="0.35">
      <c r="C114" s="12"/>
      <c r="D114" s="13"/>
      <c r="E114" s="22"/>
      <c r="F114" s="10"/>
      <c r="G114" s="10"/>
      <c r="H114" s="24"/>
      <c r="I114" s="18"/>
      <c r="J114" s="12"/>
    </row>
    <row r="115" spans="3:10" x14ac:dyDescent="0.35">
      <c r="C115" s="12"/>
      <c r="D115" s="13"/>
      <c r="E115" s="22"/>
      <c r="F115" s="10"/>
      <c r="G115" s="10"/>
      <c r="H115" s="24"/>
      <c r="I115" s="18"/>
      <c r="J115" s="12"/>
    </row>
    <row r="116" spans="3:10" x14ac:dyDescent="0.35">
      <c r="C116" s="12"/>
      <c r="D116" s="13"/>
      <c r="E116" s="22"/>
      <c r="F116" s="10"/>
      <c r="G116" s="10"/>
      <c r="H116" s="24"/>
      <c r="I116" s="18"/>
      <c r="J116" s="12"/>
    </row>
    <row r="117" spans="3:10" x14ac:dyDescent="0.35">
      <c r="C117" s="12"/>
      <c r="D117" s="13"/>
      <c r="E117" s="22"/>
      <c r="F117" s="10"/>
      <c r="G117" s="10"/>
      <c r="H117" s="24"/>
      <c r="I117" s="18"/>
      <c r="J117" s="12"/>
    </row>
    <row r="118" spans="3:10" x14ac:dyDescent="0.35">
      <c r="C118" s="12"/>
      <c r="D118" s="13"/>
      <c r="E118" s="22"/>
      <c r="F118" s="10"/>
      <c r="G118" s="10"/>
      <c r="H118" s="24"/>
      <c r="I118" s="18"/>
      <c r="J118" s="12"/>
    </row>
    <row r="119" spans="3:10" x14ac:dyDescent="0.35">
      <c r="C119" s="12"/>
      <c r="D119" s="13"/>
      <c r="E119" s="22"/>
      <c r="F119" s="10"/>
      <c r="G119" s="10"/>
      <c r="H119" s="24"/>
      <c r="I119" s="18"/>
      <c r="J119" s="12"/>
    </row>
    <row r="120" spans="3:10" x14ac:dyDescent="0.35">
      <c r="C120" s="12"/>
      <c r="D120" s="13"/>
      <c r="E120" s="22"/>
      <c r="F120" s="10"/>
      <c r="G120" s="10"/>
      <c r="H120" s="24"/>
      <c r="I120" s="18"/>
      <c r="J120" s="12"/>
    </row>
    <row r="121" spans="3:10" x14ac:dyDescent="0.35">
      <c r="C121" s="12"/>
      <c r="D121" s="13"/>
      <c r="E121" s="22"/>
      <c r="F121" s="10"/>
      <c r="G121" s="10"/>
      <c r="H121" s="24"/>
      <c r="I121" s="18"/>
      <c r="J121" s="12"/>
    </row>
    <row r="122" spans="3:10" x14ac:dyDescent="0.35">
      <c r="C122" s="12"/>
      <c r="D122" s="13"/>
      <c r="E122" s="22"/>
      <c r="F122" s="10"/>
      <c r="G122" s="10"/>
      <c r="H122" s="24"/>
      <c r="I122" s="18"/>
      <c r="J122" s="12"/>
    </row>
    <row r="123" spans="3:10" x14ac:dyDescent="0.35">
      <c r="C123" s="12"/>
      <c r="D123" s="13"/>
      <c r="E123" s="22"/>
      <c r="F123" s="10"/>
      <c r="G123" s="10"/>
      <c r="H123" s="24"/>
      <c r="I123" s="18"/>
      <c r="J123" s="12"/>
    </row>
    <row r="124" spans="3:10" x14ac:dyDescent="0.35">
      <c r="C124" s="12"/>
      <c r="D124" s="13"/>
      <c r="E124" s="22"/>
      <c r="F124" s="10"/>
      <c r="G124" s="10"/>
      <c r="H124" s="24"/>
      <c r="I124" s="18"/>
      <c r="J124" s="12"/>
    </row>
    <row r="125" spans="3:10" x14ac:dyDescent="0.35">
      <c r="C125" s="12"/>
      <c r="D125" s="13"/>
      <c r="E125" s="22"/>
      <c r="F125" s="10"/>
      <c r="G125" s="10"/>
      <c r="H125" s="24"/>
      <c r="I125" s="18"/>
      <c r="J125" s="12"/>
    </row>
    <row r="126" spans="3:10" x14ac:dyDescent="0.35">
      <c r="C126" s="12"/>
      <c r="D126" s="13"/>
      <c r="E126" s="22"/>
      <c r="F126" s="10"/>
      <c r="G126" s="10"/>
      <c r="H126" s="24"/>
      <c r="I126" s="18"/>
      <c r="J126" s="12"/>
    </row>
    <row r="127" spans="3:10" x14ac:dyDescent="0.35">
      <c r="C127" s="12"/>
      <c r="D127" s="13"/>
      <c r="E127" s="22"/>
      <c r="F127" s="10"/>
      <c r="G127" s="10"/>
      <c r="H127" s="24"/>
      <c r="I127" s="18"/>
      <c r="J127" s="12"/>
    </row>
    <row r="128" spans="3:10" x14ac:dyDescent="0.35">
      <c r="C128" s="12"/>
      <c r="D128" s="13"/>
      <c r="E128" s="22"/>
      <c r="F128" s="10"/>
      <c r="G128" s="10"/>
      <c r="H128" s="24"/>
      <c r="I128" s="18"/>
      <c r="J128" s="12"/>
    </row>
    <row r="129" spans="3:10" x14ac:dyDescent="0.35">
      <c r="C129" s="12"/>
      <c r="D129" s="13"/>
      <c r="E129" s="22"/>
      <c r="F129" s="10"/>
      <c r="G129" s="10"/>
      <c r="H129" s="24"/>
      <c r="I129" s="18"/>
      <c r="J129" s="12"/>
    </row>
    <row r="130" spans="3:10" x14ac:dyDescent="0.35">
      <c r="C130" s="12"/>
      <c r="D130" s="13"/>
      <c r="E130" s="22"/>
      <c r="F130" s="10"/>
      <c r="G130" s="10"/>
      <c r="H130" s="24"/>
      <c r="I130" s="18"/>
      <c r="J130" s="12"/>
    </row>
    <row r="131" spans="3:10" x14ac:dyDescent="0.35">
      <c r="C131" s="12"/>
      <c r="D131" s="13"/>
      <c r="E131" s="22"/>
      <c r="F131" s="10"/>
      <c r="G131" s="10"/>
      <c r="H131" s="24"/>
      <c r="I131" s="18"/>
      <c r="J131" s="12"/>
    </row>
    <row r="132" spans="3:10" x14ac:dyDescent="0.35">
      <c r="C132" s="12"/>
      <c r="D132" s="13"/>
      <c r="E132" s="22"/>
      <c r="F132" s="10"/>
      <c r="G132" s="10"/>
      <c r="H132" s="24"/>
      <c r="I132" s="18"/>
      <c r="J132" s="12"/>
    </row>
    <row r="133" spans="3:10" x14ac:dyDescent="0.35">
      <c r="C133" s="12"/>
      <c r="D133" s="13"/>
      <c r="E133" s="22"/>
      <c r="F133" s="10"/>
      <c r="G133" s="10"/>
      <c r="H133" s="24"/>
      <c r="I133" s="18"/>
      <c r="J133" s="12"/>
    </row>
    <row r="134" spans="3:10" x14ac:dyDescent="0.35">
      <c r="C134" s="12"/>
      <c r="D134" s="13"/>
      <c r="E134" s="22"/>
      <c r="F134" s="10"/>
      <c r="G134" s="10"/>
      <c r="H134" s="24"/>
      <c r="I134" s="18"/>
      <c r="J134" s="12"/>
    </row>
    <row r="135" spans="3:10" x14ac:dyDescent="0.35">
      <c r="C135" s="12"/>
      <c r="D135" s="13"/>
      <c r="E135" s="22"/>
      <c r="F135" s="10"/>
      <c r="G135" s="10"/>
      <c r="H135" s="24"/>
      <c r="I135" s="18"/>
      <c r="J135" s="12"/>
    </row>
    <row r="136" spans="3:10" x14ac:dyDescent="0.35">
      <c r="C136" s="12"/>
      <c r="D136" s="13"/>
      <c r="E136" s="22"/>
      <c r="F136" s="10"/>
      <c r="G136" s="10"/>
      <c r="H136" s="24"/>
      <c r="I136" s="18"/>
      <c r="J136" s="12"/>
    </row>
    <row r="137" spans="3:10" x14ac:dyDescent="0.35">
      <c r="C137" s="12"/>
      <c r="D137" s="13"/>
      <c r="E137" s="22"/>
      <c r="F137" s="10"/>
      <c r="G137" s="10"/>
      <c r="H137" s="24"/>
      <c r="I137" s="18"/>
      <c r="J137" s="12"/>
    </row>
    <row r="138" spans="3:10" x14ac:dyDescent="0.35">
      <c r="C138" s="12"/>
      <c r="D138" s="13"/>
      <c r="E138" s="22"/>
      <c r="F138" s="10"/>
      <c r="G138" s="10"/>
      <c r="H138" s="24"/>
      <c r="I138" s="18"/>
      <c r="J138" s="12"/>
    </row>
    <row r="139" spans="3:10" x14ac:dyDescent="0.35">
      <c r="C139" s="12"/>
      <c r="D139" s="13"/>
      <c r="E139" s="22"/>
      <c r="F139" s="10"/>
      <c r="G139" s="10"/>
      <c r="H139" s="24"/>
      <c r="I139" s="18"/>
      <c r="J139" s="12"/>
    </row>
    <row r="140" spans="3:10" x14ac:dyDescent="0.35">
      <c r="C140" s="12"/>
      <c r="D140" s="13"/>
      <c r="E140" s="22"/>
      <c r="F140" s="10"/>
      <c r="G140" s="10"/>
      <c r="H140" s="24"/>
      <c r="I140" s="18"/>
      <c r="J140" s="12"/>
    </row>
    <row r="141" spans="3:10" x14ac:dyDescent="0.35">
      <c r="C141" s="12"/>
      <c r="D141" s="13"/>
      <c r="E141" s="22"/>
      <c r="F141" s="10"/>
      <c r="G141" s="10"/>
      <c r="H141" s="24"/>
      <c r="I141" s="18"/>
      <c r="J141" s="12"/>
    </row>
    <row r="142" spans="3:10" x14ac:dyDescent="0.35">
      <c r="C142" s="12"/>
      <c r="D142" s="13"/>
      <c r="E142" s="22"/>
      <c r="F142" s="10"/>
      <c r="G142" s="10"/>
      <c r="H142" s="24"/>
      <c r="I142" s="18"/>
      <c r="J142" s="12"/>
    </row>
    <row r="143" spans="3:10" x14ac:dyDescent="0.35">
      <c r="C143" s="12"/>
      <c r="D143" s="13"/>
      <c r="E143" s="22"/>
      <c r="F143" s="10"/>
      <c r="G143" s="10"/>
      <c r="H143" s="24"/>
      <c r="I143" s="18"/>
      <c r="J143" s="12"/>
    </row>
    <row r="144" spans="3:10" x14ac:dyDescent="0.35">
      <c r="C144" s="12"/>
      <c r="D144" s="13"/>
      <c r="E144" s="22"/>
      <c r="F144" s="10"/>
      <c r="G144" s="10"/>
      <c r="H144" s="24"/>
      <c r="I144" s="18"/>
      <c r="J144" s="12"/>
    </row>
    <row r="145" spans="3:10" x14ac:dyDescent="0.35">
      <c r="C145" s="12"/>
      <c r="D145" s="13"/>
      <c r="E145" s="22"/>
      <c r="F145" s="10"/>
      <c r="G145" s="10"/>
      <c r="H145" s="24"/>
      <c r="I145" s="18"/>
      <c r="J145" s="12"/>
    </row>
    <row r="146" spans="3:10" x14ac:dyDescent="0.35">
      <c r="C146" s="12"/>
      <c r="D146" s="13"/>
      <c r="E146" s="22"/>
      <c r="F146" s="10"/>
      <c r="G146" s="10"/>
      <c r="H146" s="24"/>
      <c r="I146" s="18"/>
      <c r="J146" s="12"/>
    </row>
    <row r="147" spans="3:10" x14ac:dyDescent="0.35">
      <c r="C147" s="12"/>
      <c r="D147" s="13"/>
      <c r="E147" s="22"/>
      <c r="F147" s="10"/>
      <c r="G147" s="10"/>
      <c r="H147" s="24"/>
      <c r="I147" s="18"/>
      <c r="J147" s="12"/>
    </row>
    <row r="148" spans="3:10" x14ac:dyDescent="0.35">
      <c r="C148" s="12"/>
      <c r="D148" s="13"/>
      <c r="E148" s="22"/>
      <c r="F148" s="10"/>
      <c r="G148" s="10"/>
      <c r="H148" s="24"/>
      <c r="I148" s="18"/>
      <c r="J148" s="12"/>
    </row>
    <row r="149" spans="3:10" x14ac:dyDescent="0.35">
      <c r="C149" s="12"/>
      <c r="D149" s="13"/>
      <c r="E149" s="22"/>
      <c r="F149" s="10"/>
      <c r="G149" s="10"/>
      <c r="H149" s="24"/>
      <c r="I149" s="18"/>
      <c r="J149" s="12"/>
    </row>
    <row r="150" spans="3:10" x14ac:dyDescent="0.35">
      <c r="C150" s="12"/>
      <c r="D150" s="13"/>
      <c r="E150" s="22"/>
      <c r="F150" s="10"/>
      <c r="G150" s="10"/>
      <c r="H150" s="24"/>
      <c r="I150" s="18"/>
      <c r="J150" s="12"/>
    </row>
    <row r="151" spans="3:10" x14ac:dyDescent="0.35">
      <c r="C151" s="12"/>
      <c r="D151" s="13"/>
      <c r="E151" s="22"/>
      <c r="F151" s="10"/>
      <c r="G151" s="10"/>
      <c r="H151" s="24"/>
      <c r="I151" s="18"/>
      <c r="J151" s="12"/>
    </row>
    <row r="152" spans="3:10" x14ac:dyDescent="0.35">
      <c r="C152" s="12"/>
      <c r="D152" s="13"/>
      <c r="E152" s="22"/>
      <c r="F152" s="10"/>
      <c r="G152" s="10"/>
      <c r="H152" s="24"/>
      <c r="I152" s="18"/>
      <c r="J152" s="12"/>
    </row>
    <row r="153" spans="3:10" x14ac:dyDescent="0.35">
      <c r="C153" s="12"/>
      <c r="D153" s="13"/>
      <c r="E153" s="22"/>
      <c r="F153" s="10"/>
      <c r="G153" s="10"/>
      <c r="H153" s="24"/>
      <c r="I153" s="18"/>
      <c r="J153" s="12"/>
    </row>
    <row r="154" spans="3:10" x14ac:dyDescent="0.35">
      <c r="C154" s="12"/>
      <c r="D154" s="13"/>
      <c r="E154" s="22"/>
      <c r="F154" s="10"/>
      <c r="G154" s="10"/>
      <c r="H154" s="24"/>
      <c r="I154" s="18"/>
      <c r="J154" s="12"/>
    </row>
    <row r="155" spans="3:10" x14ac:dyDescent="0.35">
      <c r="C155" s="12"/>
      <c r="D155" s="13"/>
      <c r="E155" s="22"/>
      <c r="F155" s="10"/>
      <c r="G155" s="10"/>
      <c r="H155" s="24"/>
      <c r="I155" s="18"/>
      <c r="J155" s="12"/>
    </row>
    <row r="156" spans="3:10" x14ac:dyDescent="0.35">
      <c r="C156" s="12"/>
      <c r="D156" s="13"/>
      <c r="E156" s="22"/>
      <c r="F156" s="10"/>
      <c r="G156" s="10"/>
      <c r="H156" s="24"/>
      <c r="I156" s="18"/>
      <c r="J156" s="12"/>
    </row>
    <row r="157" spans="3:10" x14ac:dyDescent="0.35">
      <c r="C157" s="12"/>
      <c r="D157" s="13"/>
      <c r="E157" s="22"/>
      <c r="F157" s="10"/>
      <c r="G157" s="10"/>
      <c r="H157" s="24"/>
      <c r="I157" s="18"/>
      <c r="J157" s="12"/>
    </row>
    <row r="158" spans="3:10" x14ac:dyDescent="0.35">
      <c r="C158" s="12"/>
      <c r="D158" s="13"/>
      <c r="E158" s="22"/>
      <c r="F158" s="10"/>
      <c r="G158" s="10"/>
      <c r="H158" s="24"/>
      <c r="I158" s="18"/>
      <c r="J158" s="12"/>
    </row>
    <row r="159" spans="3:10" x14ac:dyDescent="0.35">
      <c r="C159" s="12"/>
      <c r="D159" s="13"/>
      <c r="E159" s="22"/>
      <c r="F159" s="10"/>
      <c r="G159" s="10"/>
      <c r="H159" s="24"/>
      <c r="I159" s="18"/>
      <c r="J159" s="12"/>
    </row>
    <row r="160" spans="3:10" x14ac:dyDescent="0.35">
      <c r="C160" s="12"/>
      <c r="D160" s="13"/>
      <c r="E160" s="22"/>
      <c r="F160" s="10"/>
      <c r="G160" s="10"/>
      <c r="H160" s="24"/>
      <c r="I160" s="18"/>
      <c r="J160" s="12"/>
    </row>
    <row r="161" spans="3:10" x14ac:dyDescent="0.35">
      <c r="C161" s="12"/>
      <c r="D161" s="13"/>
      <c r="E161" s="22"/>
      <c r="F161" s="10"/>
      <c r="G161" s="10"/>
      <c r="H161" s="24"/>
      <c r="I161" s="18"/>
      <c r="J161" s="12"/>
    </row>
    <row r="162" spans="3:10" x14ac:dyDescent="0.35">
      <c r="C162" s="12"/>
      <c r="D162" s="13"/>
      <c r="E162" s="22"/>
      <c r="F162" s="10"/>
      <c r="G162" s="10"/>
      <c r="H162" s="24"/>
      <c r="I162" s="18"/>
      <c r="J162" s="12"/>
    </row>
    <row r="163" spans="3:10" x14ac:dyDescent="0.35">
      <c r="C163" s="12"/>
      <c r="I163" s="19"/>
    </row>
    <row r="164" spans="3:10" x14ac:dyDescent="0.35">
      <c r="C164" s="12"/>
    </row>
    <row r="165" spans="3:10" x14ac:dyDescent="0.35">
      <c r="C165" s="12"/>
    </row>
    <row r="166" spans="3:10" x14ac:dyDescent="0.35">
      <c r="C166" s="12"/>
    </row>
    <row r="167" spans="3:10" x14ac:dyDescent="0.35">
      <c r="C167" s="12"/>
    </row>
    <row r="168" spans="3:10" x14ac:dyDescent="0.35">
      <c r="C168" s="12"/>
    </row>
    <row r="169" spans="3:10" x14ac:dyDescent="0.35">
      <c r="C169" s="12"/>
    </row>
    <row r="170" spans="3:10" x14ac:dyDescent="0.35">
      <c r="C170" s="12"/>
    </row>
    <row r="171" spans="3:10" x14ac:dyDescent="0.35">
      <c r="C171" s="12"/>
    </row>
    <row r="172" spans="3:10" x14ac:dyDescent="0.35">
      <c r="C172" s="12"/>
    </row>
    <row r="173" spans="3:10" x14ac:dyDescent="0.35">
      <c r="C173" s="12"/>
    </row>
    <row r="174" spans="3:10" x14ac:dyDescent="0.35">
      <c r="C174" s="12"/>
    </row>
    <row r="175" spans="3:10" x14ac:dyDescent="0.35">
      <c r="C175" s="12"/>
    </row>
    <row r="176" spans="3:10" x14ac:dyDescent="0.35">
      <c r="C176" s="12"/>
    </row>
    <row r="177" spans="3:3" x14ac:dyDescent="0.35">
      <c r="C177" s="12"/>
    </row>
    <row r="178" spans="3:3" x14ac:dyDescent="0.35">
      <c r="C178" s="12"/>
    </row>
    <row r="179" spans="3:3" x14ac:dyDescent="0.35">
      <c r="C179" s="12"/>
    </row>
    <row r="180" spans="3:3" x14ac:dyDescent="0.35">
      <c r="C180" s="12"/>
    </row>
    <row r="181" spans="3:3" x14ac:dyDescent="0.35">
      <c r="C181" s="12"/>
    </row>
    <row r="182" spans="3:3" x14ac:dyDescent="0.35">
      <c r="C182" s="12"/>
    </row>
    <row r="183" spans="3:3" x14ac:dyDescent="0.35">
      <c r="C183" s="12"/>
    </row>
    <row r="184" spans="3:3" x14ac:dyDescent="0.35">
      <c r="C184" s="12"/>
    </row>
    <row r="185" spans="3:3" x14ac:dyDescent="0.35">
      <c r="C185" s="12"/>
    </row>
    <row r="186" spans="3:3" x14ac:dyDescent="0.35">
      <c r="C186" s="12"/>
    </row>
    <row r="187" spans="3:3" x14ac:dyDescent="0.35">
      <c r="C187" s="12"/>
    </row>
    <row r="188" spans="3:3" x14ac:dyDescent="0.35">
      <c r="C188" s="12"/>
    </row>
    <row r="189" spans="3:3" x14ac:dyDescent="0.35">
      <c r="C189" s="12"/>
    </row>
    <row r="190" spans="3:3" x14ac:dyDescent="0.35">
      <c r="C190" s="12"/>
    </row>
    <row r="191" spans="3:3" x14ac:dyDescent="0.35">
      <c r="C191" s="12"/>
    </row>
    <row r="192" spans="3:3" x14ac:dyDescent="0.35">
      <c r="C192" s="12"/>
    </row>
    <row r="193" spans="3:3" x14ac:dyDescent="0.35">
      <c r="C193" s="12"/>
    </row>
    <row r="194" spans="3:3" x14ac:dyDescent="0.35">
      <c r="C194" s="12"/>
    </row>
    <row r="195" spans="3:3" x14ac:dyDescent="0.35">
      <c r="C195" s="12"/>
    </row>
    <row r="196" spans="3:3" x14ac:dyDescent="0.35">
      <c r="C196" s="12"/>
    </row>
    <row r="197" spans="3:3" x14ac:dyDescent="0.35">
      <c r="C197" s="12"/>
    </row>
  </sheetData>
  <mergeCells count="1">
    <mergeCell ref="D1:G2"/>
  </mergeCells>
  <pageMargins left="0.7" right="0.7" top="0.75" bottom="0.75" header="0.3" footer="0.3"/>
  <pageSetup paperSize="9" scale="1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88968E-B56B-4EFB-BA53-F5FCAC1AF571}">
          <x14:formula1>
            <xm:f>Control!$G$1:$G$12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2D932-7029-4DAF-8C93-0E0D7C7A9E01}">
  <sheetPr codeName="shMaster"/>
  <dimension ref="A1:AE83"/>
  <sheetViews>
    <sheetView tabSelected="1" zoomScale="85" zoomScaleNormal="85" workbookViewId="0">
      <selection activeCell="D13" sqref="D13"/>
    </sheetView>
  </sheetViews>
  <sheetFormatPr defaultRowHeight="14.5" x14ac:dyDescent="0.35"/>
  <cols>
    <col min="1" max="1" width="4.90625" customWidth="1"/>
    <col min="2" max="2" width="11.6328125" customWidth="1"/>
    <col min="3" max="3" width="13.453125" customWidth="1"/>
    <col min="4" max="5" width="10.7265625" customWidth="1"/>
    <col min="6" max="6" width="7" customWidth="1"/>
    <col min="7" max="7" width="9.1796875" bestFit="1" customWidth="1"/>
    <col min="8" max="8" width="6.7265625" bestFit="1" customWidth="1"/>
    <col min="13" max="13" width="4.6328125" customWidth="1"/>
    <col min="14" max="14" width="9.90625" customWidth="1"/>
    <col min="15" max="16" width="12.7265625" customWidth="1"/>
    <col min="17" max="17" width="8.6328125" bestFit="1" customWidth="1"/>
    <col min="18" max="18" width="6" bestFit="1" customWidth="1"/>
    <col min="19" max="19" width="9.1796875" bestFit="1" customWidth="1"/>
    <col min="20" max="20" width="6.7265625" bestFit="1" customWidth="1"/>
  </cols>
  <sheetData>
    <row r="1" spans="1:31" ht="17.5" customHeight="1" x14ac:dyDescent="0.35">
      <c r="A1" s="37" t="s">
        <v>29</v>
      </c>
      <c r="B1" s="37"/>
      <c r="C1" s="37"/>
      <c r="D1" s="37"/>
      <c r="E1" s="37"/>
      <c r="F1" s="37"/>
      <c r="G1" s="37"/>
      <c r="H1" s="37"/>
      <c r="K1" s="8" t="s">
        <v>14</v>
      </c>
      <c r="M1" s="32" t="s">
        <v>7</v>
      </c>
      <c r="N1" s="32" t="s">
        <v>0</v>
      </c>
      <c r="O1" s="32" t="s">
        <v>4</v>
      </c>
      <c r="P1" s="32" t="s">
        <v>5</v>
      </c>
      <c r="Q1" s="32" t="s">
        <v>6</v>
      </c>
      <c r="R1" s="32" t="s">
        <v>9</v>
      </c>
      <c r="S1" s="32" t="s">
        <v>10</v>
      </c>
      <c r="T1" s="32" t="s">
        <v>11</v>
      </c>
    </row>
    <row r="2" spans="1:31" s="7" customFormat="1" x14ac:dyDescent="0.35">
      <c r="A2" s="31" t="s">
        <v>7</v>
      </c>
      <c r="B2" s="31" t="s">
        <v>0</v>
      </c>
      <c r="C2" s="31" t="s">
        <v>4</v>
      </c>
      <c r="D2" s="31" t="s">
        <v>5</v>
      </c>
      <c r="E2" s="31" t="s">
        <v>6</v>
      </c>
      <c r="F2" s="31" t="s">
        <v>9</v>
      </c>
      <c r="G2" s="31" t="s">
        <v>10</v>
      </c>
      <c r="H2" s="31" t="s">
        <v>11</v>
      </c>
      <c r="K2" s="9" t="s">
        <v>11</v>
      </c>
      <c r="M2"/>
      <c r="N2"/>
      <c r="O2"/>
      <c r="P2"/>
      <c r="Q2"/>
      <c r="R2"/>
      <c r="S2"/>
      <c r="T2"/>
    </row>
    <row r="3" spans="1:31" x14ac:dyDescent="0.35">
      <c r="A3">
        <v>1</v>
      </c>
      <c r="B3" t="s">
        <v>2</v>
      </c>
      <c r="C3" s="23" t="s">
        <v>50</v>
      </c>
      <c r="D3" t="s">
        <v>48</v>
      </c>
      <c r="E3" t="s">
        <v>51</v>
      </c>
      <c r="F3" s="33">
        <v>1</v>
      </c>
      <c r="G3" s="34">
        <v>45</v>
      </c>
      <c r="H3">
        <v>4</v>
      </c>
      <c r="K3">
        <f>VLOOKUP(Invoice!I1,Control!$G$1:$H$12,2,FALSE)</f>
        <v>1</v>
      </c>
      <c r="M3">
        <v>1</v>
      </c>
      <c r="N3" t="s">
        <v>3</v>
      </c>
      <c r="O3" s="23" t="s">
        <v>130</v>
      </c>
      <c r="P3" t="s">
        <v>47</v>
      </c>
      <c r="Q3" t="s">
        <v>51</v>
      </c>
      <c r="R3" s="33">
        <v>2</v>
      </c>
      <c r="S3" s="34">
        <v>70</v>
      </c>
      <c r="T3">
        <v>12</v>
      </c>
      <c r="X3">
        <v>1</v>
      </c>
      <c r="Y3" t="s">
        <v>3</v>
      </c>
      <c r="Z3" s="23" t="s">
        <v>31</v>
      </c>
      <c r="AA3" t="s">
        <v>41</v>
      </c>
      <c r="AB3" t="s">
        <v>42</v>
      </c>
      <c r="AC3" s="33">
        <v>2</v>
      </c>
      <c r="AD3" s="34">
        <v>70</v>
      </c>
      <c r="AE3">
        <v>5</v>
      </c>
    </row>
    <row r="4" spans="1:31" x14ac:dyDescent="0.35">
      <c r="A4">
        <v>2</v>
      </c>
      <c r="B4" t="s">
        <v>2</v>
      </c>
      <c r="C4" s="23" t="s">
        <v>50</v>
      </c>
      <c r="D4" t="s">
        <v>52</v>
      </c>
      <c r="E4" t="s">
        <v>53</v>
      </c>
      <c r="F4" s="33">
        <v>2</v>
      </c>
      <c r="G4" s="34">
        <v>90</v>
      </c>
      <c r="H4">
        <v>4</v>
      </c>
      <c r="M4">
        <v>2</v>
      </c>
      <c r="N4" t="s">
        <v>2</v>
      </c>
      <c r="O4" s="23" t="s">
        <v>131</v>
      </c>
      <c r="P4" t="s">
        <v>71</v>
      </c>
      <c r="Q4" t="s">
        <v>48</v>
      </c>
      <c r="R4" s="33">
        <v>2</v>
      </c>
      <c r="S4" s="34">
        <v>90</v>
      </c>
      <c r="T4">
        <v>12</v>
      </c>
      <c r="X4">
        <v>2</v>
      </c>
      <c r="Y4" t="s">
        <v>2</v>
      </c>
      <c r="Z4" s="23" t="s">
        <v>32</v>
      </c>
      <c r="AA4" t="s">
        <v>43</v>
      </c>
      <c r="AB4" t="s">
        <v>44</v>
      </c>
      <c r="AC4" s="33">
        <v>3</v>
      </c>
      <c r="AD4" s="34">
        <v>135</v>
      </c>
      <c r="AE4">
        <v>5</v>
      </c>
    </row>
    <row r="5" spans="1:31" x14ac:dyDescent="0.35">
      <c r="A5">
        <v>3</v>
      </c>
      <c r="B5" t="s">
        <v>2</v>
      </c>
      <c r="C5" s="23" t="s">
        <v>54</v>
      </c>
      <c r="D5" t="s">
        <v>44</v>
      </c>
      <c r="E5" t="s">
        <v>55</v>
      </c>
      <c r="F5" s="33">
        <v>2</v>
      </c>
      <c r="G5" s="34">
        <v>90</v>
      </c>
      <c r="H5">
        <v>4</v>
      </c>
      <c r="M5">
        <v>3</v>
      </c>
      <c r="N5" t="s">
        <v>2</v>
      </c>
      <c r="O5" s="23" t="s">
        <v>132</v>
      </c>
      <c r="P5" t="s">
        <v>78</v>
      </c>
      <c r="Q5" t="s">
        <v>45</v>
      </c>
      <c r="R5" s="33">
        <v>2</v>
      </c>
      <c r="S5" s="34">
        <v>90</v>
      </c>
      <c r="T5">
        <v>12</v>
      </c>
      <c r="X5">
        <v>3</v>
      </c>
      <c r="Y5" t="s">
        <v>3</v>
      </c>
      <c r="Z5" s="23" t="s">
        <v>33</v>
      </c>
      <c r="AA5" t="s">
        <v>41</v>
      </c>
      <c r="AB5" t="s">
        <v>42</v>
      </c>
      <c r="AC5" s="33">
        <v>2</v>
      </c>
      <c r="AD5" s="34">
        <v>70</v>
      </c>
      <c r="AE5">
        <v>5</v>
      </c>
    </row>
    <row r="6" spans="1:31" x14ac:dyDescent="0.35">
      <c r="A6">
        <v>4</v>
      </c>
      <c r="B6" t="s">
        <v>3</v>
      </c>
      <c r="C6" s="23" t="s">
        <v>56</v>
      </c>
      <c r="D6" t="s">
        <v>57</v>
      </c>
      <c r="E6" t="s">
        <v>52</v>
      </c>
      <c r="F6" s="33">
        <v>2</v>
      </c>
      <c r="G6" s="34">
        <v>70</v>
      </c>
      <c r="H6">
        <v>4</v>
      </c>
      <c r="M6">
        <v>4</v>
      </c>
      <c r="N6" t="s">
        <v>3</v>
      </c>
      <c r="O6" s="23" t="s">
        <v>133</v>
      </c>
      <c r="P6" t="s">
        <v>41</v>
      </c>
      <c r="Q6" t="s">
        <v>42</v>
      </c>
      <c r="R6" s="33">
        <v>2</v>
      </c>
      <c r="S6" s="34">
        <v>70</v>
      </c>
      <c r="T6">
        <v>12</v>
      </c>
      <c r="X6">
        <v>4</v>
      </c>
      <c r="Y6" t="s">
        <v>2</v>
      </c>
      <c r="Z6" s="23" t="s">
        <v>34</v>
      </c>
      <c r="AA6" t="s">
        <v>45</v>
      </c>
      <c r="AB6" t="s">
        <v>46</v>
      </c>
      <c r="AC6" s="33">
        <v>3</v>
      </c>
      <c r="AD6" s="34">
        <v>135</v>
      </c>
      <c r="AE6">
        <v>5</v>
      </c>
    </row>
    <row r="7" spans="1:31" x14ac:dyDescent="0.35">
      <c r="A7">
        <v>5</v>
      </c>
      <c r="B7" t="s">
        <v>3</v>
      </c>
      <c r="C7" s="23" t="s">
        <v>58</v>
      </c>
      <c r="D7" t="s">
        <v>59</v>
      </c>
      <c r="E7" t="s">
        <v>60</v>
      </c>
      <c r="F7" s="33">
        <v>4</v>
      </c>
      <c r="G7" s="34">
        <v>140</v>
      </c>
      <c r="H7">
        <v>4</v>
      </c>
      <c r="M7">
        <v>5</v>
      </c>
      <c r="N7" t="s">
        <v>2</v>
      </c>
      <c r="O7" s="23" t="s">
        <v>134</v>
      </c>
      <c r="P7" t="s">
        <v>71</v>
      </c>
      <c r="Q7" t="s">
        <v>45</v>
      </c>
      <c r="R7" s="33">
        <v>2.5</v>
      </c>
      <c r="S7" s="34">
        <v>112.5</v>
      </c>
      <c r="T7">
        <v>12</v>
      </c>
      <c r="X7">
        <v>5</v>
      </c>
      <c r="Y7" t="s">
        <v>3</v>
      </c>
      <c r="Z7" s="23" t="s">
        <v>35</v>
      </c>
      <c r="AA7" t="s">
        <v>47</v>
      </c>
      <c r="AB7" t="s">
        <v>40</v>
      </c>
      <c r="AC7" s="33">
        <v>2.5</v>
      </c>
      <c r="AD7" s="34">
        <v>87.5</v>
      </c>
      <c r="AE7">
        <v>5</v>
      </c>
    </row>
    <row r="8" spans="1:31" x14ac:dyDescent="0.35">
      <c r="A8">
        <v>6</v>
      </c>
      <c r="B8" t="s">
        <v>2</v>
      </c>
      <c r="C8" s="23" t="s">
        <v>61</v>
      </c>
      <c r="D8" t="s">
        <v>59</v>
      </c>
      <c r="E8" t="s">
        <v>44</v>
      </c>
      <c r="F8" s="33">
        <v>2.5</v>
      </c>
      <c r="G8" s="34">
        <v>112.5</v>
      </c>
      <c r="H8">
        <v>4</v>
      </c>
      <c r="M8">
        <v>6</v>
      </c>
      <c r="N8" t="s">
        <v>3</v>
      </c>
      <c r="O8" s="23" t="s">
        <v>135</v>
      </c>
      <c r="P8" t="s">
        <v>47</v>
      </c>
      <c r="Q8" t="s">
        <v>51</v>
      </c>
      <c r="R8" s="33">
        <v>2</v>
      </c>
      <c r="S8" s="34">
        <v>70</v>
      </c>
      <c r="T8">
        <v>12</v>
      </c>
      <c r="X8">
        <v>6</v>
      </c>
      <c r="Y8" t="s">
        <v>2</v>
      </c>
      <c r="Z8" s="23" t="s">
        <v>36</v>
      </c>
      <c r="AA8" t="s">
        <v>48</v>
      </c>
      <c r="AB8" t="s">
        <v>43</v>
      </c>
      <c r="AC8" s="33">
        <v>2</v>
      </c>
      <c r="AD8" s="34">
        <v>90</v>
      </c>
      <c r="AE8">
        <v>5</v>
      </c>
    </row>
    <row r="9" spans="1:31" x14ac:dyDescent="0.35">
      <c r="A9">
        <v>7</v>
      </c>
      <c r="B9" t="s">
        <v>3</v>
      </c>
      <c r="C9" s="23" t="s">
        <v>62</v>
      </c>
      <c r="D9" t="s">
        <v>59</v>
      </c>
      <c r="E9" t="s">
        <v>44</v>
      </c>
      <c r="F9" s="33">
        <v>2.5</v>
      </c>
      <c r="G9" s="34">
        <v>87.5</v>
      </c>
      <c r="H9">
        <v>4</v>
      </c>
      <c r="M9">
        <v>7</v>
      </c>
      <c r="N9" t="s">
        <v>2</v>
      </c>
      <c r="O9" s="23" t="s">
        <v>136</v>
      </c>
      <c r="P9" t="s">
        <v>47</v>
      </c>
      <c r="Q9" t="s">
        <v>51</v>
      </c>
      <c r="R9" s="33">
        <v>2</v>
      </c>
      <c r="S9" s="34">
        <v>90</v>
      </c>
      <c r="T9">
        <v>12</v>
      </c>
      <c r="X9">
        <v>7</v>
      </c>
      <c r="Y9" t="s">
        <v>3</v>
      </c>
      <c r="Z9" s="23" t="s">
        <v>37</v>
      </c>
      <c r="AA9" t="s">
        <v>38</v>
      </c>
      <c r="AB9" t="s">
        <v>39</v>
      </c>
      <c r="AC9" s="33">
        <v>2.5</v>
      </c>
      <c r="AD9" s="34">
        <v>87.5</v>
      </c>
      <c r="AE9">
        <v>5</v>
      </c>
    </row>
    <row r="10" spans="1:31" x14ac:dyDescent="0.35">
      <c r="A10">
        <v>8</v>
      </c>
      <c r="B10" t="s">
        <v>2</v>
      </c>
      <c r="C10" s="23" t="s">
        <v>63</v>
      </c>
      <c r="D10" t="s">
        <v>46</v>
      </c>
      <c r="E10" t="s">
        <v>44</v>
      </c>
      <c r="F10" s="33">
        <v>1.5</v>
      </c>
      <c r="G10" s="34">
        <v>67.5</v>
      </c>
      <c r="H10">
        <v>4</v>
      </c>
      <c r="M10">
        <v>8</v>
      </c>
      <c r="N10" t="s">
        <v>3</v>
      </c>
      <c r="O10" s="23" t="s">
        <v>137</v>
      </c>
      <c r="P10" t="s">
        <v>106</v>
      </c>
      <c r="Q10" t="s">
        <v>89</v>
      </c>
      <c r="R10" s="33">
        <v>2.5</v>
      </c>
      <c r="S10" s="34">
        <v>87.5</v>
      </c>
      <c r="T10">
        <v>12</v>
      </c>
    </row>
    <row r="11" spans="1:31" x14ac:dyDescent="0.35">
      <c r="A11">
        <v>9</v>
      </c>
      <c r="B11" t="s">
        <v>3</v>
      </c>
      <c r="C11" s="23" t="s">
        <v>64</v>
      </c>
      <c r="D11" t="s">
        <v>65</v>
      </c>
      <c r="E11" t="s">
        <v>52</v>
      </c>
      <c r="F11" s="33">
        <v>3</v>
      </c>
      <c r="G11" s="34">
        <v>105</v>
      </c>
      <c r="H11">
        <v>4</v>
      </c>
      <c r="M11">
        <v>9</v>
      </c>
      <c r="N11" t="s">
        <v>2</v>
      </c>
      <c r="O11" s="23" t="s">
        <v>137</v>
      </c>
      <c r="P11" t="s">
        <v>89</v>
      </c>
      <c r="Q11" t="s">
        <v>43</v>
      </c>
      <c r="R11" s="33">
        <v>2.5</v>
      </c>
      <c r="S11" s="34">
        <v>112.5</v>
      </c>
      <c r="T11">
        <v>12</v>
      </c>
    </row>
    <row r="12" spans="1:31" x14ac:dyDescent="0.35">
      <c r="A12">
        <v>10</v>
      </c>
      <c r="B12" t="s">
        <v>3</v>
      </c>
      <c r="C12" s="23" t="s">
        <v>66</v>
      </c>
      <c r="D12" t="s">
        <v>65</v>
      </c>
      <c r="E12" t="s">
        <v>44</v>
      </c>
      <c r="F12" s="33">
        <v>2</v>
      </c>
      <c r="G12" s="34">
        <v>70</v>
      </c>
      <c r="H12">
        <v>4</v>
      </c>
    </row>
    <row r="13" spans="1:31" x14ac:dyDescent="0.35">
      <c r="A13">
        <v>1</v>
      </c>
      <c r="B13" t="s">
        <v>3</v>
      </c>
      <c r="C13" s="23" t="s">
        <v>31</v>
      </c>
      <c r="D13" t="s">
        <v>41</v>
      </c>
      <c r="E13" t="s">
        <v>42</v>
      </c>
      <c r="F13" s="33">
        <v>2</v>
      </c>
      <c r="G13" s="34">
        <v>70</v>
      </c>
      <c r="H13">
        <v>5</v>
      </c>
    </row>
    <row r="14" spans="1:31" x14ac:dyDescent="0.35">
      <c r="A14">
        <v>2</v>
      </c>
      <c r="B14" t="s">
        <v>2</v>
      </c>
      <c r="C14" s="23" t="s">
        <v>32</v>
      </c>
      <c r="D14" t="s">
        <v>43</v>
      </c>
      <c r="E14" t="s">
        <v>44</v>
      </c>
      <c r="F14" s="33">
        <v>3</v>
      </c>
      <c r="G14" s="34">
        <v>135</v>
      </c>
      <c r="H14">
        <v>5</v>
      </c>
    </row>
    <row r="15" spans="1:31" x14ac:dyDescent="0.35">
      <c r="A15">
        <v>3</v>
      </c>
      <c r="B15" t="s">
        <v>3</v>
      </c>
      <c r="C15" s="23" t="s">
        <v>33</v>
      </c>
      <c r="D15" t="s">
        <v>41</v>
      </c>
      <c r="E15" t="s">
        <v>42</v>
      </c>
      <c r="F15" s="33">
        <v>2</v>
      </c>
      <c r="G15" s="34">
        <v>70</v>
      </c>
      <c r="H15">
        <v>5</v>
      </c>
    </row>
    <row r="16" spans="1:31" x14ac:dyDescent="0.35">
      <c r="A16">
        <v>4</v>
      </c>
      <c r="B16" t="s">
        <v>2</v>
      </c>
      <c r="C16" s="23" t="s">
        <v>34</v>
      </c>
      <c r="D16" t="s">
        <v>45</v>
      </c>
      <c r="E16" t="s">
        <v>46</v>
      </c>
      <c r="F16" s="33">
        <v>3</v>
      </c>
      <c r="G16" s="34">
        <v>135</v>
      </c>
      <c r="H16">
        <v>5</v>
      </c>
    </row>
    <row r="17" spans="1:8" x14ac:dyDescent="0.35">
      <c r="A17">
        <v>5</v>
      </c>
      <c r="B17" t="s">
        <v>3</v>
      </c>
      <c r="C17" s="23" t="s">
        <v>35</v>
      </c>
      <c r="D17" t="s">
        <v>47</v>
      </c>
      <c r="E17" t="s">
        <v>40</v>
      </c>
      <c r="F17" s="33">
        <v>2.5</v>
      </c>
      <c r="G17" s="34">
        <v>87.5</v>
      </c>
      <c r="H17">
        <v>5</v>
      </c>
    </row>
    <row r="18" spans="1:8" x14ac:dyDescent="0.35">
      <c r="A18">
        <v>6</v>
      </c>
      <c r="B18" t="s">
        <v>2</v>
      </c>
      <c r="C18" s="23" t="s">
        <v>36</v>
      </c>
      <c r="D18" t="s">
        <v>48</v>
      </c>
      <c r="E18" t="s">
        <v>43</v>
      </c>
      <c r="F18" s="33">
        <v>2</v>
      </c>
      <c r="G18" s="34">
        <v>90</v>
      </c>
      <c r="H18">
        <v>5</v>
      </c>
    </row>
    <row r="19" spans="1:8" x14ac:dyDescent="0.35">
      <c r="A19">
        <v>7</v>
      </c>
      <c r="B19" t="s">
        <v>3</v>
      </c>
      <c r="C19" s="23" t="s">
        <v>37</v>
      </c>
      <c r="D19" t="s">
        <v>38</v>
      </c>
      <c r="E19" t="s">
        <v>39</v>
      </c>
      <c r="F19" s="33">
        <v>2.5</v>
      </c>
      <c r="G19" s="34">
        <v>87.5</v>
      </c>
      <c r="H19">
        <v>5</v>
      </c>
    </row>
    <row r="20" spans="1:8" x14ac:dyDescent="0.35">
      <c r="A20">
        <v>8</v>
      </c>
      <c r="B20" t="s">
        <v>2</v>
      </c>
      <c r="C20" s="23" t="s">
        <v>69</v>
      </c>
      <c r="D20" t="s">
        <v>48</v>
      </c>
      <c r="E20" t="s">
        <v>59</v>
      </c>
      <c r="F20" s="33">
        <v>2.5</v>
      </c>
      <c r="G20" s="34">
        <v>112.5</v>
      </c>
      <c r="H20">
        <v>5</v>
      </c>
    </row>
    <row r="21" spans="1:8" x14ac:dyDescent="0.35">
      <c r="A21">
        <v>9</v>
      </c>
      <c r="B21" t="s">
        <v>3</v>
      </c>
      <c r="C21" s="23" t="s">
        <v>70</v>
      </c>
      <c r="D21" t="s">
        <v>71</v>
      </c>
      <c r="E21" t="s">
        <v>48</v>
      </c>
      <c r="F21" s="33">
        <v>2</v>
      </c>
      <c r="G21" s="34">
        <v>70</v>
      </c>
      <c r="H21">
        <v>5</v>
      </c>
    </row>
    <row r="22" spans="1:8" x14ac:dyDescent="0.35">
      <c r="A22">
        <v>10</v>
      </c>
      <c r="B22" t="s">
        <v>2</v>
      </c>
      <c r="C22" s="23" t="s">
        <v>72</v>
      </c>
      <c r="D22" t="s">
        <v>47</v>
      </c>
      <c r="E22" t="s">
        <v>40</v>
      </c>
      <c r="F22" s="33">
        <v>2.5</v>
      </c>
      <c r="G22" s="34">
        <v>112.5</v>
      </c>
      <c r="H22">
        <v>5</v>
      </c>
    </row>
    <row r="23" spans="1:8" x14ac:dyDescent="0.35">
      <c r="A23">
        <v>1</v>
      </c>
      <c r="B23" t="s">
        <v>3</v>
      </c>
      <c r="C23" s="23" t="s">
        <v>73</v>
      </c>
      <c r="D23" t="s">
        <v>41</v>
      </c>
      <c r="E23" t="s">
        <v>74</v>
      </c>
      <c r="F23" s="33">
        <v>2.5</v>
      </c>
      <c r="G23" s="34">
        <v>87.5</v>
      </c>
      <c r="H23">
        <v>6</v>
      </c>
    </row>
    <row r="24" spans="1:8" x14ac:dyDescent="0.35">
      <c r="A24">
        <v>2</v>
      </c>
      <c r="B24" t="s">
        <v>2</v>
      </c>
      <c r="C24" s="23" t="s">
        <v>75</v>
      </c>
      <c r="D24" t="s">
        <v>47</v>
      </c>
      <c r="E24" t="s">
        <v>43</v>
      </c>
      <c r="F24" s="33">
        <v>3</v>
      </c>
      <c r="G24" s="34">
        <v>135</v>
      </c>
      <c r="H24">
        <v>6</v>
      </c>
    </row>
    <row r="25" spans="1:8" x14ac:dyDescent="0.35">
      <c r="A25">
        <v>3</v>
      </c>
      <c r="B25" t="s">
        <v>2</v>
      </c>
      <c r="C25" s="23" t="s">
        <v>76</v>
      </c>
      <c r="D25" t="s">
        <v>65</v>
      </c>
      <c r="E25" t="s">
        <v>44</v>
      </c>
      <c r="F25" s="33">
        <v>2</v>
      </c>
      <c r="G25" s="34">
        <v>90</v>
      </c>
      <c r="H25">
        <v>6</v>
      </c>
    </row>
    <row r="26" spans="1:8" x14ac:dyDescent="0.35">
      <c r="A26">
        <v>4</v>
      </c>
      <c r="B26" t="s">
        <v>3</v>
      </c>
      <c r="C26" s="23" t="s">
        <v>77</v>
      </c>
      <c r="D26" t="s">
        <v>39</v>
      </c>
      <c r="E26" t="s">
        <v>78</v>
      </c>
      <c r="F26" s="33">
        <v>2.5</v>
      </c>
      <c r="G26" s="34">
        <v>87.5</v>
      </c>
      <c r="H26">
        <v>6</v>
      </c>
    </row>
    <row r="27" spans="1:8" x14ac:dyDescent="0.35">
      <c r="A27">
        <v>5</v>
      </c>
      <c r="B27" t="s">
        <v>2</v>
      </c>
      <c r="C27" s="23" t="s">
        <v>79</v>
      </c>
      <c r="D27" t="s">
        <v>47</v>
      </c>
      <c r="E27" t="s">
        <v>43</v>
      </c>
      <c r="F27" s="33">
        <v>3</v>
      </c>
      <c r="G27" s="34">
        <v>135</v>
      </c>
      <c r="H27">
        <v>6</v>
      </c>
    </row>
    <row r="28" spans="1:8" x14ac:dyDescent="0.35">
      <c r="A28">
        <v>6</v>
      </c>
      <c r="B28" t="s">
        <v>2</v>
      </c>
      <c r="C28" s="23" t="s">
        <v>80</v>
      </c>
      <c r="D28" t="s">
        <v>48</v>
      </c>
      <c r="E28" t="s">
        <v>43</v>
      </c>
      <c r="F28" s="33">
        <v>2</v>
      </c>
      <c r="G28" s="34">
        <v>90</v>
      </c>
      <c r="H28">
        <v>6</v>
      </c>
    </row>
    <row r="29" spans="1:8" x14ac:dyDescent="0.35">
      <c r="A29">
        <v>7</v>
      </c>
      <c r="B29" t="s">
        <v>3</v>
      </c>
      <c r="C29" s="23" t="s">
        <v>81</v>
      </c>
      <c r="D29" t="s">
        <v>41</v>
      </c>
      <c r="E29" t="s">
        <v>74</v>
      </c>
      <c r="F29" s="33">
        <v>2.5</v>
      </c>
      <c r="G29" s="34">
        <v>87.5</v>
      </c>
      <c r="H29">
        <v>6</v>
      </c>
    </row>
    <row r="30" spans="1:8" x14ac:dyDescent="0.35">
      <c r="A30">
        <v>8</v>
      </c>
      <c r="B30" t="s">
        <v>2</v>
      </c>
      <c r="C30" s="23" t="s">
        <v>82</v>
      </c>
      <c r="D30" t="s">
        <v>47</v>
      </c>
      <c r="E30" t="s">
        <v>40</v>
      </c>
      <c r="F30" s="33">
        <v>2.5</v>
      </c>
      <c r="G30" s="34">
        <v>112.5</v>
      </c>
      <c r="H30">
        <v>6</v>
      </c>
    </row>
    <row r="31" spans="1:8" x14ac:dyDescent="0.35">
      <c r="A31">
        <v>9</v>
      </c>
      <c r="B31" t="s">
        <v>2</v>
      </c>
      <c r="C31" s="23" t="s">
        <v>83</v>
      </c>
      <c r="D31" t="s">
        <v>45</v>
      </c>
      <c r="E31" t="s">
        <v>40</v>
      </c>
      <c r="F31" s="33">
        <v>1</v>
      </c>
      <c r="G31" s="34">
        <v>45</v>
      </c>
      <c r="H31">
        <v>6</v>
      </c>
    </row>
    <row r="32" spans="1:8" x14ac:dyDescent="0.35">
      <c r="A32">
        <v>10</v>
      </c>
      <c r="B32" t="s">
        <v>2</v>
      </c>
      <c r="C32" s="23" t="s">
        <v>84</v>
      </c>
      <c r="D32" t="s">
        <v>51</v>
      </c>
      <c r="E32" t="s">
        <v>43</v>
      </c>
      <c r="F32" s="33">
        <v>1</v>
      </c>
      <c r="G32" s="34">
        <v>45</v>
      </c>
      <c r="H32">
        <v>6</v>
      </c>
    </row>
    <row r="33" spans="1:8" x14ac:dyDescent="0.35">
      <c r="A33">
        <v>11</v>
      </c>
      <c r="B33" t="s">
        <v>3</v>
      </c>
      <c r="C33" s="23" t="s">
        <v>85</v>
      </c>
      <c r="D33" t="s">
        <v>41</v>
      </c>
      <c r="E33" t="s">
        <v>74</v>
      </c>
      <c r="F33" s="33">
        <v>2.5</v>
      </c>
      <c r="G33" s="34">
        <v>87.5</v>
      </c>
      <c r="H33">
        <v>6</v>
      </c>
    </row>
    <row r="34" spans="1:8" x14ac:dyDescent="0.35">
      <c r="A34">
        <v>12</v>
      </c>
      <c r="B34" t="s">
        <v>2</v>
      </c>
      <c r="C34" s="23" t="s">
        <v>86</v>
      </c>
      <c r="D34" t="s">
        <v>47</v>
      </c>
      <c r="E34" t="s">
        <v>43</v>
      </c>
      <c r="F34" s="33">
        <v>3</v>
      </c>
      <c r="G34" s="34">
        <v>135</v>
      </c>
      <c r="H34">
        <v>6</v>
      </c>
    </row>
    <row r="35" spans="1:8" x14ac:dyDescent="0.35">
      <c r="A35">
        <v>1</v>
      </c>
      <c r="B35" t="s">
        <v>3</v>
      </c>
      <c r="C35" s="23" t="s">
        <v>87</v>
      </c>
      <c r="D35" t="s">
        <v>41</v>
      </c>
      <c r="E35" t="s">
        <v>74</v>
      </c>
      <c r="F35" s="33">
        <v>2.5</v>
      </c>
      <c r="G35" s="34">
        <v>87.5</v>
      </c>
      <c r="H35">
        <v>7</v>
      </c>
    </row>
    <row r="36" spans="1:8" x14ac:dyDescent="0.35">
      <c r="A36">
        <v>2</v>
      </c>
      <c r="B36" t="s">
        <v>2</v>
      </c>
      <c r="C36" s="23" t="s">
        <v>88</v>
      </c>
      <c r="D36" t="s">
        <v>89</v>
      </c>
      <c r="E36" t="s">
        <v>40</v>
      </c>
      <c r="F36" s="33">
        <v>2</v>
      </c>
      <c r="G36" s="34">
        <v>90</v>
      </c>
      <c r="H36">
        <v>7</v>
      </c>
    </row>
    <row r="37" spans="1:8" x14ac:dyDescent="0.35">
      <c r="A37">
        <v>3</v>
      </c>
      <c r="B37" t="s">
        <v>3</v>
      </c>
      <c r="C37" s="23" t="s">
        <v>90</v>
      </c>
      <c r="D37" t="s">
        <v>41</v>
      </c>
      <c r="E37" t="s">
        <v>74</v>
      </c>
      <c r="F37" s="33">
        <v>2.5</v>
      </c>
      <c r="G37" s="34">
        <v>87.5</v>
      </c>
      <c r="H37">
        <v>7</v>
      </c>
    </row>
    <row r="38" spans="1:8" x14ac:dyDescent="0.35">
      <c r="A38">
        <v>4</v>
      </c>
      <c r="B38" t="s">
        <v>2</v>
      </c>
      <c r="C38" s="23" t="s">
        <v>91</v>
      </c>
      <c r="D38" t="s">
        <v>47</v>
      </c>
      <c r="E38" t="s">
        <v>40</v>
      </c>
      <c r="F38" s="33">
        <v>2.5</v>
      </c>
      <c r="G38" s="34">
        <v>112.5</v>
      </c>
      <c r="H38">
        <v>7</v>
      </c>
    </row>
    <row r="39" spans="1:8" x14ac:dyDescent="0.35">
      <c r="A39">
        <v>5</v>
      </c>
      <c r="B39" t="s">
        <v>3</v>
      </c>
      <c r="C39" s="23" t="s">
        <v>92</v>
      </c>
      <c r="D39" t="s">
        <v>41</v>
      </c>
      <c r="E39" t="s">
        <v>74</v>
      </c>
      <c r="F39" s="33">
        <v>2.5</v>
      </c>
      <c r="G39" s="34">
        <v>87.5</v>
      </c>
      <c r="H39">
        <v>7</v>
      </c>
    </row>
    <row r="40" spans="1:8" x14ac:dyDescent="0.35">
      <c r="A40">
        <v>6</v>
      </c>
      <c r="B40" t="s">
        <v>2</v>
      </c>
      <c r="C40" s="23" t="s">
        <v>93</v>
      </c>
      <c r="D40" t="s">
        <v>47</v>
      </c>
      <c r="E40" t="s">
        <v>51</v>
      </c>
      <c r="F40" s="33">
        <v>2</v>
      </c>
      <c r="G40" s="34">
        <v>90</v>
      </c>
      <c r="H40">
        <v>7</v>
      </c>
    </row>
    <row r="41" spans="1:8" x14ac:dyDescent="0.35">
      <c r="A41">
        <v>7</v>
      </c>
      <c r="B41" t="s">
        <v>3</v>
      </c>
      <c r="C41" s="23" t="s">
        <v>94</v>
      </c>
      <c r="D41" t="s">
        <v>41</v>
      </c>
      <c r="E41" t="s">
        <v>74</v>
      </c>
      <c r="F41" s="33">
        <v>2.5</v>
      </c>
      <c r="G41" s="34">
        <v>87.5</v>
      </c>
      <c r="H41">
        <v>7</v>
      </c>
    </row>
    <row r="42" spans="1:8" x14ac:dyDescent="0.35">
      <c r="A42">
        <v>8</v>
      </c>
      <c r="B42" t="s">
        <v>2</v>
      </c>
      <c r="C42" s="23" t="s">
        <v>95</v>
      </c>
      <c r="D42" t="s">
        <v>47</v>
      </c>
      <c r="E42" t="s">
        <v>51</v>
      </c>
      <c r="F42" s="33">
        <v>2</v>
      </c>
      <c r="G42" s="34">
        <v>90</v>
      </c>
      <c r="H42">
        <v>7</v>
      </c>
    </row>
    <row r="43" spans="1:8" x14ac:dyDescent="0.35">
      <c r="A43">
        <v>9</v>
      </c>
      <c r="B43" t="s">
        <v>3</v>
      </c>
      <c r="C43" s="23" t="s">
        <v>96</v>
      </c>
      <c r="D43" t="s">
        <v>41</v>
      </c>
      <c r="E43" t="s">
        <v>74</v>
      </c>
      <c r="F43" s="33">
        <v>2.5</v>
      </c>
      <c r="G43" s="34">
        <v>87.5</v>
      </c>
      <c r="H43">
        <v>7</v>
      </c>
    </row>
    <row r="44" spans="1:8" x14ac:dyDescent="0.35">
      <c r="A44">
        <v>1</v>
      </c>
      <c r="B44" t="s">
        <v>2</v>
      </c>
      <c r="C44" s="23" t="s">
        <v>97</v>
      </c>
      <c r="D44" t="s">
        <v>47</v>
      </c>
      <c r="E44" t="s">
        <v>40</v>
      </c>
      <c r="F44" s="33">
        <v>2.5</v>
      </c>
      <c r="G44" s="34">
        <v>112.5</v>
      </c>
      <c r="H44">
        <v>8</v>
      </c>
    </row>
    <row r="45" spans="1:8" x14ac:dyDescent="0.35">
      <c r="A45">
        <v>2</v>
      </c>
      <c r="B45" t="s">
        <v>3</v>
      </c>
      <c r="C45" s="23" t="s">
        <v>98</v>
      </c>
      <c r="D45" t="s">
        <v>65</v>
      </c>
      <c r="E45" t="s">
        <v>99</v>
      </c>
      <c r="F45" s="33">
        <v>2.5</v>
      </c>
      <c r="G45" s="34">
        <v>87.5</v>
      </c>
      <c r="H45">
        <v>8</v>
      </c>
    </row>
    <row r="46" spans="1:8" x14ac:dyDescent="0.35">
      <c r="A46">
        <v>3</v>
      </c>
      <c r="B46" t="s">
        <v>3</v>
      </c>
      <c r="C46" s="23" t="s">
        <v>100</v>
      </c>
      <c r="D46" t="s">
        <v>41</v>
      </c>
      <c r="E46" t="s">
        <v>74</v>
      </c>
      <c r="F46" s="33">
        <v>2.5</v>
      </c>
      <c r="G46" s="34">
        <v>87.5</v>
      </c>
      <c r="H46">
        <v>8</v>
      </c>
    </row>
    <row r="47" spans="1:8" x14ac:dyDescent="0.35">
      <c r="A47">
        <v>4</v>
      </c>
      <c r="B47" t="s">
        <v>2</v>
      </c>
      <c r="C47" s="23" t="s">
        <v>101</v>
      </c>
      <c r="D47" t="s">
        <v>71</v>
      </c>
      <c r="E47" t="s">
        <v>48</v>
      </c>
      <c r="F47" s="33">
        <v>2</v>
      </c>
      <c r="G47" s="34">
        <v>90</v>
      </c>
      <c r="H47">
        <v>8</v>
      </c>
    </row>
    <row r="48" spans="1:8" x14ac:dyDescent="0.35">
      <c r="A48">
        <v>5</v>
      </c>
      <c r="B48" t="s">
        <v>3</v>
      </c>
      <c r="C48" s="23" t="s">
        <v>102</v>
      </c>
      <c r="D48" t="s">
        <v>65</v>
      </c>
      <c r="E48" t="s">
        <v>44</v>
      </c>
      <c r="F48" s="33">
        <v>2</v>
      </c>
      <c r="G48" s="34">
        <v>70</v>
      </c>
      <c r="H48">
        <v>8</v>
      </c>
    </row>
    <row r="49" spans="1:8" x14ac:dyDescent="0.35">
      <c r="A49">
        <v>6</v>
      </c>
      <c r="B49" t="s">
        <v>3</v>
      </c>
      <c r="C49" s="23" t="s">
        <v>103</v>
      </c>
      <c r="D49" t="s">
        <v>41</v>
      </c>
      <c r="E49" t="s">
        <v>42</v>
      </c>
      <c r="F49" s="33">
        <v>2</v>
      </c>
      <c r="G49" s="34">
        <v>70</v>
      </c>
      <c r="H49">
        <v>8</v>
      </c>
    </row>
    <row r="50" spans="1:8" x14ac:dyDescent="0.35">
      <c r="A50">
        <v>7</v>
      </c>
      <c r="B50" t="s">
        <v>2</v>
      </c>
      <c r="C50" s="23" t="s">
        <v>104</v>
      </c>
      <c r="D50" t="s">
        <v>71</v>
      </c>
      <c r="E50" t="s">
        <v>48</v>
      </c>
      <c r="F50" s="33">
        <v>2</v>
      </c>
      <c r="G50" s="34">
        <v>90</v>
      </c>
      <c r="H50">
        <v>8</v>
      </c>
    </row>
    <row r="51" spans="1:8" x14ac:dyDescent="0.35">
      <c r="A51">
        <v>8</v>
      </c>
      <c r="B51" t="s">
        <v>3</v>
      </c>
      <c r="C51" s="23" t="s">
        <v>105</v>
      </c>
      <c r="D51" t="s">
        <v>106</v>
      </c>
      <c r="E51" t="s">
        <v>47</v>
      </c>
      <c r="F51" s="33">
        <v>2</v>
      </c>
      <c r="G51" s="34">
        <v>70</v>
      </c>
      <c r="H51">
        <v>8</v>
      </c>
    </row>
    <row r="52" spans="1:8" x14ac:dyDescent="0.35">
      <c r="A52">
        <v>9</v>
      </c>
      <c r="B52" t="s">
        <v>2</v>
      </c>
      <c r="C52" s="23" t="s">
        <v>107</v>
      </c>
      <c r="D52" t="s">
        <v>47</v>
      </c>
      <c r="E52" t="s">
        <v>51</v>
      </c>
      <c r="F52" s="33">
        <v>2</v>
      </c>
      <c r="G52" s="34">
        <v>90</v>
      </c>
      <c r="H52">
        <v>8</v>
      </c>
    </row>
    <row r="53" spans="1:8" x14ac:dyDescent="0.35">
      <c r="A53">
        <v>10</v>
      </c>
      <c r="B53" t="s">
        <v>3</v>
      </c>
      <c r="C53" s="23" t="s">
        <v>108</v>
      </c>
      <c r="D53" t="s">
        <v>41</v>
      </c>
      <c r="E53" t="s">
        <v>42</v>
      </c>
      <c r="F53" s="33">
        <v>2</v>
      </c>
      <c r="G53" s="34">
        <v>70</v>
      </c>
      <c r="H53">
        <v>8</v>
      </c>
    </row>
    <row r="54" spans="1:8" x14ac:dyDescent="0.35">
      <c r="A54">
        <v>11</v>
      </c>
      <c r="B54" t="s">
        <v>2</v>
      </c>
      <c r="C54" s="23" t="s">
        <v>109</v>
      </c>
      <c r="D54" t="s">
        <v>47</v>
      </c>
      <c r="E54" t="s">
        <v>51</v>
      </c>
      <c r="F54" s="33">
        <v>2</v>
      </c>
      <c r="G54" s="34">
        <v>90</v>
      </c>
      <c r="H54">
        <v>8</v>
      </c>
    </row>
    <row r="55" spans="1:8" x14ac:dyDescent="0.35">
      <c r="A55">
        <v>1</v>
      </c>
      <c r="B55" t="s">
        <v>2</v>
      </c>
      <c r="C55" s="23" t="s">
        <v>110</v>
      </c>
      <c r="D55" t="s">
        <v>47</v>
      </c>
      <c r="E55" t="s">
        <v>51</v>
      </c>
      <c r="F55" s="33">
        <v>2</v>
      </c>
      <c r="G55" s="34">
        <v>90</v>
      </c>
      <c r="H55">
        <v>9</v>
      </c>
    </row>
    <row r="56" spans="1:8" x14ac:dyDescent="0.35">
      <c r="A56">
        <v>2</v>
      </c>
      <c r="B56" t="s">
        <v>3</v>
      </c>
      <c r="C56" s="23" t="s">
        <v>111</v>
      </c>
      <c r="D56" t="s">
        <v>41</v>
      </c>
      <c r="E56" t="s">
        <v>42</v>
      </c>
      <c r="F56" s="33">
        <v>2</v>
      </c>
      <c r="G56" s="34">
        <v>70</v>
      </c>
      <c r="H56">
        <v>9</v>
      </c>
    </row>
    <row r="57" spans="1:8" x14ac:dyDescent="0.35">
      <c r="A57">
        <v>3</v>
      </c>
      <c r="B57" t="s">
        <v>2</v>
      </c>
      <c r="C57" s="23" t="s">
        <v>112</v>
      </c>
      <c r="D57" t="s">
        <v>106</v>
      </c>
      <c r="E57" t="s">
        <v>47</v>
      </c>
      <c r="F57" s="33">
        <v>2</v>
      </c>
      <c r="G57" s="34">
        <v>90</v>
      </c>
      <c r="H57">
        <v>9</v>
      </c>
    </row>
    <row r="58" spans="1:8" x14ac:dyDescent="0.35">
      <c r="A58">
        <v>4</v>
      </c>
      <c r="B58" t="s">
        <v>3</v>
      </c>
      <c r="C58" s="23" t="s">
        <v>113</v>
      </c>
      <c r="D58" t="s">
        <v>41</v>
      </c>
      <c r="E58" t="s">
        <v>42</v>
      </c>
      <c r="F58" s="33">
        <v>2</v>
      </c>
      <c r="G58" s="34">
        <v>70</v>
      </c>
      <c r="H58">
        <v>9</v>
      </c>
    </row>
    <row r="59" spans="1:8" x14ac:dyDescent="0.35">
      <c r="A59">
        <v>5</v>
      </c>
      <c r="B59" t="s">
        <v>2</v>
      </c>
      <c r="C59" s="23" t="s">
        <v>114</v>
      </c>
      <c r="D59" t="s">
        <v>47</v>
      </c>
      <c r="E59" t="s">
        <v>51</v>
      </c>
      <c r="F59" s="33">
        <v>2</v>
      </c>
      <c r="G59" s="34">
        <v>90</v>
      </c>
      <c r="H59">
        <v>9</v>
      </c>
    </row>
    <row r="60" spans="1:8" x14ac:dyDescent="0.35">
      <c r="A60">
        <v>6</v>
      </c>
      <c r="B60" t="s">
        <v>3</v>
      </c>
      <c r="C60" s="23" t="s">
        <v>115</v>
      </c>
      <c r="D60" t="s">
        <v>41</v>
      </c>
      <c r="E60" t="s">
        <v>42</v>
      </c>
      <c r="F60" s="33">
        <v>2</v>
      </c>
      <c r="G60" s="34">
        <v>70</v>
      </c>
      <c r="H60">
        <v>9</v>
      </c>
    </row>
    <row r="61" spans="1:8" x14ac:dyDescent="0.35">
      <c r="A61">
        <v>7</v>
      </c>
      <c r="B61" t="s">
        <v>2</v>
      </c>
      <c r="C61" s="23" t="s">
        <v>116</v>
      </c>
      <c r="D61" t="s">
        <v>47</v>
      </c>
      <c r="E61" t="s">
        <v>51</v>
      </c>
      <c r="F61" s="33">
        <v>2</v>
      </c>
      <c r="G61" s="34">
        <v>90</v>
      </c>
      <c r="H61">
        <v>9</v>
      </c>
    </row>
    <row r="62" spans="1:8" x14ac:dyDescent="0.35">
      <c r="A62">
        <v>1</v>
      </c>
      <c r="B62" t="s">
        <v>3</v>
      </c>
      <c r="C62" s="23" t="s">
        <v>117</v>
      </c>
      <c r="D62" t="s">
        <v>41</v>
      </c>
      <c r="E62" t="s">
        <v>42</v>
      </c>
      <c r="F62" s="33">
        <v>2</v>
      </c>
      <c r="G62" s="34">
        <v>70</v>
      </c>
      <c r="H62">
        <v>10</v>
      </c>
    </row>
    <row r="63" spans="1:8" x14ac:dyDescent="0.35">
      <c r="A63">
        <v>2</v>
      </c>
      <c r="B63" t="s">
        <v>3</v>
      </c>
      <c r="C63" s="23" t="s">
        <v>118</v>
      </c>
      <c r="D63" t="s">
        <v>48</v>
      </c>
      <c r="E63" t="s">
        <v>43</v>
      </c>
      <c r="F63" s="33">
        <v>2</v>
      </c>
      <c r="G63" s="34">
        <v>70</v>
      </c>
      <c r="H63">
        <v>10</v>
      </c>
    </row>
    <row r="64" spans="1:8" x14ac:dyDescent="0.35">
      <c r="A64">
        <v>3</v>
      </c>
      <c r="B64" t="s">
        <v>2</v>
      </c>
      <c r="C64" s="23" t="s">
        <v>119</v>
      </c>
      <c r="D64" t="s">
        <v>47</v>
      </c>
      <c r="E64" t="s">
        <v>51</v>
      </c>
      <c r="F64" s="33">
        <v>2</v>
      </c>
      <c r="G64" s="34">
        <v>90</v>
      </c>
      <c r="H64">
        <v>10</v>
      </c>
    </row>
    <row r="65" spans="1:8" x14ac:dyDescent="0.35">
      <c r="A65">
        <v>4</v>
      </c>
      <c r="B65" t="s">
        <v>3</v>
      </c>
      <c r="C65" s="23" t="s">
        <v>120</v>
      </c>
      <c r="D65" t="s">
        <v>41</v>
      </c>
      <c r="E65" t="s">
        <v>42</v>
      </c>
      <c r="F65" s="33">
        <v>2</v>
      </c>
      <c r="G65" s="34">
        <v>70</v>
      </c>
      <c r="H65">
        <v>10</v>
      </c>
    </row>
    <row r="66" spans="1:8" x14ac:dyDescent="0.35">
      <c r="A66">
        <v>5</v>
      </c>
      <c r="B66" t="s">
        <v>2</v>
      </c>
      <c r="C66" s="23" t="s">
        <v>121</v>
      </c>
      <c r="D66" t="s">
        <v>41</v>
      </c>
      <c r="E66" t="s">
        <v>42</v>
      </c>
      <c r="F66" s="33">
        <v>2</v>
      </c>
      <c r="G66" s="34">
        <v>90</v>
      </c>
      <c r="H66">
        <v>10</v>
      </c>
    </row>
    <row r="67" spans="1:8" x14ac:dyDescent="0.35">
      <c r="A67">
        <v>6</v>
      </c>
      <c r="B67" t="s">
        <v>3</v>
      </c>
      <c r="C67" s="23" t="s">
        <v>122</v>
      </c>
      <c r="D67" t="s">
        <v>41</v>
      </c>
      <c r="E67" t="s">
        <v>42</v>
      </c>
      <c r="F67" s="33">
        <v>2</v>
      </c>
      <c r="G67" s="34">
        <v>70</v>
      </c>
      <c r="H67">
        <v>10</v>
      </c>
    </row>
    <row r="68" spans="1:8" x14ac:dyDescent="0.35">
      <c r="A68">
        <v>7</v>
      </c>
      <c r="B68" t="s">
        <v>2</v>
      </c>
      <c r="C68" s="23" t="s">
        <v>123</v>
      </c>
      <c r="D68" t="s">
        <v>47</v>
      </c>
      <c r="E68" t="s">
        <v>51</v>
      </c>
      <c r="F68" s="33">
        <v>2</v>
      </c>
      <c r="G68" s="34">
        <v>90</v>
      </c>
      <c r="H68">
        <v>10</v>
      </c>
    </row>
    <row r="69" spans="1:8" x14ac:dyDescent="0.35">
      <c r="A69">
        <v>8</v>
      </c>
      <c r="B69" t="s">
        <v>2</v>
      </c>
      <c r="C69" s="23" t="s">
        <v>124</v>
      </c>
      <c r="D69" t="s">
        <v>47</v>
      </c>
      <c r="E69" t="s">
        <v>51</v>
      </c>
      <c r="F69" s="33">
        <v>2</v>
      </c>
      <c r="G69" s="34">
        <v>90</v>
      </c>
      <c r="H69">
        <v>10</v>
      </c>
    </row>
    <row r="70" spans="1:8" x14ac:dyDescent="0.35">
      <c r="A70">
        <v>1</v>
      </c>
      <c r="B70" t="s">
        <v>2</v>
      </c>
      <c r="C70" s="23" t="s">
        <v>125</v>
      </c>
      <c r="D70" t="s">
        <v>47</v>
      </c>
      <c r="E70" t="s">
        <v>51</v>
      </c>
      <c r="F70" s="33">
        <v>2</v>
      </c>
      <c r="G70" s="34">
        <v>90</v>
      </c>
      <c r="H70">
        <v>11</v>
      </c>
    </row>
    <row r="71" spans="1:8" x14ac:dyDescent="0.35">
      <c r="A71">
        <v>2</v>
      </c>
      <c r="B71" t="s">
        <v>3</v>
      </c>
      <c r="C71" s="23" t="s">
        <v>126</v>
      </c>
      <c r="D71" t="s">
        <v>41</v>
      </c>
      <c r="E71" t="s">
        <v>42</v>
      </c>
      <c r="F71" s="33">
        <v>2</v>
      </c>
      <c r="G71" s="34">
        <v>70</v>
      </c>
      <c r="H71">
        <v>11</v>
      </c>
    </row>
    <row r="72" spans="1:8" x14ac:dyDescent="0.35">
      <c r="A72">
        <v>3</v>
      </c>
      <c r="B72" t="s">
        <v>2</v>
      </c>
      <c r="C72" s="23" t="s">
        <v>127</v>
      </c>
      <c r="D72" t="s">
        <v>47</v>
      </c>
      <c r="E72" t="s">
        <v>51</v>
      </c>
      <c r="F72" s="33">
        <v>2</v>
      </c>
      <c r="G72" s="34">
        <v>90</v>
      </c>
      <c r="H72">
        <v>11</v>
      </c>
    </row>
    <row r="73" spans="1:8" x14ac:dyDescent="0.35">
      <c r="A73">
        <v>4</v>
      </c>
      <c r="B73" t="s">
        <v>2</v>
      </c>
      <c r="C73" s="23" t="s">
        <v>128</v>
      </c>
      <c r="D73" t="s">
        <v>89</v>
      </c>
      <c r="E73" t="s">
        <v>43</v>
      </c>
      <c r="F73" s="33">
        <v>2.5</v>
      </c>
      <c r="G73" s="34">
        <v>112.5</v>
      </c>
      <c r="H73">
        <v>11</v>
      </c>
    </row>
    <row r="74" spans="1:8" x14ac:dyDescent="0.35">
      <c r="A74">
        <v>5</v>
      </c>
      <c r="B74" t="s">
        <v>3</v>
      </c>
      <c r="C74" s="23" t="s">
        <v>129</v>
      </c>
      <c r="D74" t="s">
        <v>41</v>
      </c>
      <c r="E74" t="s">
        <v>42</v>
      </c>
      <c r="F74" s="33">
        <v>2</v>
      </c>
      <c r="G74" s="34">
        <v>70</v>
      </c>
      <c r="H74">
        <v>11</v>
      </c>
    </row>
    <row r="75" spans="1:8" x14ac:dyDescent="0.35">
      <c r="A75">
        <v>1</v>
      </c>
      <c r="B75" t="s">
        <v>3</v>
      </c>
      <c r="C75" s="23" t="s">
        <v>130</v>
      </c>
      <c r="D75" t="s">
        <v>47</v>
      </c>
      <c r="E75" t="s">
        <v>51</v>
      </c>
      <c r="F75" s="33">
        <v>2</v>
      </c>
      <c r="G75" s="34">
        <v>70</v>
      </c>
      <c r="H75">
        <v>12</v>
      </c>
    </row>
    <row r="76" spans="1:8" x14ac:dyDescent="0.35">
      <c r="A76">
        <v>2</v>
      </c>
      <c r="B76" t="s">
        <v>2</v>
      </c>
      <c r="C76" s="23" t="s">
        <v>131</v>
      </c>
      <c r="D76" t="s">
        <v>71</v>
      </c>
      <c r="E76" t="s">
        <v>48</v>
      </c>
      <c r="F76" s="33">
        <v>2</v>
      </c>
      <c r="G76" s="34">
        <v>90</v>
      </c>
      <c r="H76">
        <v>12</v>
      </c>
    </row>
    <row r="77" spans="1:8" x14ac:dyDescent="0.35">
      <c r="A77">
        <v>3</v>
      </c>
      <c r="B77" t="s">
        <v>2</v>
      </c>
      <c r="C77" s="23" t="s">
        <v>132</v>
      </c>
      <c r="D77" t="s">
        <v>78</v>
      </c>
      <c r="E77" t="s">
        <v>45</v>
      </c>
      <c r="F77" s="33">
        <v>2</v>
      </c>
      <c r="G77" s="34">
        <v>90</v>
      </c>
      <c r="H77">
        <v>12</v>
      </c>
    </row>
    <row r="78" spans="1:8" x14ac:dyDescent="0.35">
      <c r="A78">
        <v>4</v>
      </c>
      <c r="B78" t="s">
        <v>3</v>
      </c>
      <c r="C78" s="23" t="s">
        <v>133</v>
      </c>
      <c r="D78" t="s">
        <v>41</v>
      </c>
      <c r="E78" t="s">
        <v>42</v>
      </c>
      <c r="F78" s="33">
        <v>2</v>
      </c>
      <c r="G78" s="34">
        <v>70</v>
      </c>
      <c r="H78">
        <v>12</v>
      </c>
    </row>
    <row r="79" spans="1:8" x14ac:dyDescent="0.35">
      <c r="A79">
        <v>5</v>
      </c>
      <c r="B79" t="s">
        <v>2</v>
      </c>
      <c r="C79" s="23" t="s">
        <v>134</v>
      </c>
      <c r="D79" t="s">
        <v>71</v>
      </c>
      <c r="E79" t="s">
        <v>45</v>
      </c>
      <c r="F79" s="33">
        <v>2.5</v>
      </c>
      <c r="G79" s="34">
        <v>112.5</v>
      </c>
      <c r="H79">
        <v>12</v>
      </c>
    </row>
    <row r="80" spans="1:8" x14ac:dyDescent="0.35">
      <c r="A80">
        <v>6</v>
      </c>
      <c r="B80" t="s">
        <v>3</v>
      </c>
      <c r="C80" s="23" t="s">
        <v>135</v>
      </c>
      <c r="D80" t="s">
        <v>47</v>
      </c>
      <c r="E80" t="s">
        <v>51</v>
      </c>
      <c r="F80" s="33">
        <v>2</v>
      </c>
      <c r="G80" s="34">
        <v>70</v>
      </c>
      <c r="H80">
        <v>12</v>
      </c>
    </row>
    <row r="81" spans="1:8" x14ac:dyDescent="0.35">
      <c r="A81">
        <v>7</v>
      </c>
      <c r="B81" t="s">
        <v>2</v>
      </c>
      <c r="C81" s="23" t="s">
        <v>136</v>
      </c>
      <c r="D81" t="s">
        <v>47</v>
      </c>
      <c r="E81" t="s">
        <v>51</v>
      </c>
      <c r="F81" s="33">
        <v>2</v>
      </c>
      <c r="G81" s="34">
        <v>90</v>
      </c>
      <c r="H81">
        <v>12</v>
      </c>
    </row>
    <row r="82" spans="1:8" x14ac:dyDescent="0.35">
      <c r="A82">
        <v>8</v>
      </c>
      <c r="B82" t="s">
        <v>3</v>
      </c>
      <c r="C82" s="23" t="s">
        <v>137</v>
      </c>
      <c r="D82" t="s">
        <v>106</v>
      </c>
      <c r="E82" t="s">
        <v>89</v>
      </c>
      <c r="F82" s="33">
        <v>2.5</v>
      </c>
      <c r="G82" s="34">
        <v>87.5</v>
      </c>
      <c r="H82">
        <v>12</v>
      </c>
    </row>
    <row r="83" spans="1:8" x14ac:dyDescent="0.35">
      <c r="A83">
        <v>9</v>
      </c>
      <c r="B83" t="s">
        <v>2</v>
      </c>
      <c r="C83" s="23" t="s">
        <v>137</v>
      </c>
      <c r="D83" t="s">
        <v>89</v>
      </c>
      <c r="E83" t="s">
        <v>43</v>
      </c>
      <c r="F83" s="33">
        <v>2.5</v>
      </c>
      <c r="G83" s="34">
        <v>112.5</v>
      </c>
      <c r="H83">
        <v>12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75A32-FD5C-4029-A6ED-936050794E81}">
  <sheetPr codeName="shCon"/>
  <dimension ref="A1:H12"/>
  <sheetViews>
    <sheetView workbookViewId="0">
      <selection activeCell="C11" sqref="C11"/>
    </sheetView>
  </sheetViews>
  <sheetFormatPr defaultRowHeight="14.5" x14ac:dyDescent="0.35"/>
  <cols>
    <col min="4" max="4" width="19.26953125" bestFit="1" customWidth="1"/>
    <col min="7" max="7" width="9.90625" bestFit="1" customWidth="1"/>
  </cols>
  <sheetData>
    <row r="1" spans="1:8" x14ac:dyDescent="0.35">
      <c r="A1" t="s">
        <v>0</v>
      </c>
      <c r="B1" t="s">
        <v>1</v>
      </c>
      <c r="D1" t="s">
        <v>8</v>
      </c>
      <c r="E1">
        <f>COUNTA(Invoice!$C$8:$C$9997)</f>
        <v>6</v>
      </c>
      <c r="G1" t="s">
        <v>16</v>
      </c>
      <c r="H1">
        <v>1</v>
      </c>
    </row>
    <row r="2" spans="1:8" x14ac:dyDescent="0.35">
      <c r="A2" t="s">
        <v>2</v>
      </c>
      <c r="B2">
        <v>45</v>
      </c>
      <c r="G2" t="s">
        <v>17</v>
      </c>
      <c r="H2">
        <v>2</v>
      </c>
    </row>
    <row r="3" spans="1:8" x14ac:dyDescent="0.35">
      <c r="A3" t="s">
        <v>3</v>
      </c>
      <c r="B3">
        <v>30</v>
      </c>
      <c r="G3" t="s">
        <v>18</v>
      </c>
      <c r="H3">
        <v>3</v>
      </c>
    </row>
    <row r="4" spans="1:8" x14ac:dyDescent="0.35">
      <c r="G4" t="s">
        <v>15</v>
      </c>
      <c r="H4">
        <v>4</v>
      </c>
    </row>
    <row r="5" spans="1:8" x14ac:dyDescent="0.35">
      <c r="D5" t="s">
        <v>30</v>
      </c>
      <c r="E5">
        <f>COUNTA(Database!$A$3:$A$14987)</f>
        <v>81</v>
      </c>
      <c r="G5" t="s">
        <v>19</v>
      </c>
      <c r="H5">
        <v>5</v>
      </c>
    </row>
    <row r="6" spans="1:8" x14ac:dyDescent="0.35">
      <c r="D6" t="s">
        <v>67</v>
      </c>
      <c r="E6" t="str">
        <f ca="1">IFERROR(MATCH(Invoice!B4,Dyn_Master,0)+2,"")</f>
        <v/>
      </c>
      <c r="G6" t="s">
        <v>20</v>
      </c>
      <c r="H6">
        <v>6</v>
      </c>
    </row>
    <row r="7" spans="1:8" x14ac:dyDescent="0.35">
      <c r="D7" t="s">
        <v>68</v>
      </c>
      <c r="E7" t="str">
        <f ca="1">IFERROR(MATCH(Invoice!B4,Dyn_Master,0)+COUNTIF(Database!$H$3:$H$1487,Invoice!$B$4)+1,"")</f>
        <v/>
      </c>
      <c r="G7" t="s">
        <v>21</v>
      </c>
      <c r="H7">
        <v>7</v>
      </c>
    </row>
    <row r="8" spans="1:8" x14ac:dyDescent="0.35">
      <c r="G8" t="s">
        <v>22</v>
      </c>
      <c r="H8">
        <v>8</v>
      </c>
    </row>
    <row r="9" spans="1:8" x14ac:dyDescent="0.35">
      <c r="G9" t="s">
        <v>23</v>
      </c>
      <c r="H9">
        <v>9</v>
      </c>
    </row>
    <row r="10" spans="1:8" x14ac:dyDescent="0.35">
      <c r="G10" t="s">
        <v>24</v>
      </c>
      <c r="H10">
        <v>10</v>
      </c>
    </row>
    <row r="11" spans="1:8" x14ac:dyDescent="0.35">
      <c r="G11" t="s">
        <v>25</v>
      </c>
      <c r="H11">
        <v>11</v>
      </c>
    </row>
    <row r="12" spans="1:8" x14ac:dyDescent="0.35">
      <c r="G12" t="s">
        <v>26</v>
      </c>
      <c r="H12">
        <v>12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</vt:lpstr>
      <vt:lpstr>Database</vt:lpstr>
      <vt:lpstr>Control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cai</cp:lastModifiedBy>
  <cp:lastPrinted>2021-05-30T14:22:29Z</cp:lastPrinted>
  <dcterms:created xsi:type="dcterms:W3CDTF">2021-04-30T02:41:06Z</dcterms:created>
  <dcterms:modified xsi:type="dcterms:W3CDTF">2022-01-30T11:14:37Z</dcterms:modified>
</cp:coreProperties>
</file>